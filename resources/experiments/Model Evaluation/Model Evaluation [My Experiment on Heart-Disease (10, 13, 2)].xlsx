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C70F6D1-B947-4706-A947-D870F3C89E03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Dataset" sheetId="1" r:id="rId1"/>
    <sheet name="Quantitative" sheetId="3" r:id="rId2"/>
    <sheet name="Nominal" sheetId="17" r:id="rId3"/>
    <sheet name="Dataset (Contribution &amp; Weight)" sheetId="4" r:id="rId4"/>
    <sheet name="Brace for Meta-algorithm" sheetId="24" r:id="rId5"/>
    <sheet name="Meta-algorithm" sheetId="25" r:id="rId6"/>
    <sheet name="Margin Analysis" sheetId="26" r:id="rId7"/>
    <sheet name="Accuracy" sheetId="27" r:id="rId8"/>
    <sheet name="Confusion Matrix" sheetId="28" r:id="rId9"/>
    <sheet name="Precision, Recall, F1 Score" sheetId="29" r:id="rId10"/>
    <sheet name="ROC Curve &amp; AUC" sheetId="3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" i="26" l="1"/>
  <c r="R23" i="26"/>
  <c r="K108" i="26"/>
  <c r="R104" i="26"/>
  <c r="R103" i="26"/>
  <c r="R105" i="26"/>
  <c r="R106" i="26"/>
  <c r="R107" i="26"/>
  <c r="R108" i="26"/>
  <c r="R109" i="26"/>
  <c r="R110" i="26"/>
  <c r="R111" i="26"/>
  <c r="R102" i="26"/>
  <c r="S111" i="26"/>
  <c r="S110" i="26"/>
  <c r="S109" i="26"/>
  <c r="S108" i="26"/>
  <c r="S107" i="26"/>
  <c r="S106" i="26"/>
  <c r="S105" i="26"/>
  <c r="S104" i="26"/>
  <c r="S103" i="26"/>
  <c r="S102" i="26"/>
  <c r="S19" i="26"/>
  <c r="R20" i="26"/>
  <c r="R21" i="26"/>
  <c r="R22" i="26"/>
  <c r="R24" i="26"/>
  <c r="R25" i="26"/>
  <c r="R26" i="26"/>
  <c r="R27" i="26"/>
  <c r="R28" i="26"/>
  <c r="R19" i="26"/>
  <c r="S20" i="26"/>
  <c r="S21" i="26"/>
  <c r="S22" i="26"/>
  <c r="S23" i="26"/>
  <c r="S24" i="26"/>
  <c r="S25" i="26"/>
  <c r="S26" i="26"/>
  <c r="S27" i="26"/>
  <c r="S28" i="26"/>
  <c r="O107" i="26"/>
  <c r="O106" i="26"/>
  <c r="O40" i="26"/>
  <c r="O39" i="26"/>
  <c r="O24" i="26"/>
  <c r="O23" i="26"/>
  <c r="B170" i="26"/>
  <c r="C170" i="26"/>
  <c r="K124" i="26"/>
  <c r="D170" i="26"/>
  <c r="K140" i="26"/>
  <c r="E170" i="26"/>
  <c r="K156" i="26"/>
  <c r="E169" i="26"/>
  <c r="K73" i="26"/>
  <c r="D169" i="26"/>
  <c r="K57" i="26"/>
  <c r="C169" i="26"/>
  <c r="K41" i="26"/>
  <c r="B169" i="26"/>
  <c r="O154" i="26"/>
  <c r="M154" i="26"/>
  <c r="K151" i="26"/>
  <c r="I154" i="26"/>
  <c r="G154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O138" i="26"/>
  <c r="M138" i="26"/>
  <c r="K135" i="26"/>
  <c r="I138" i="26"/>
  <c r="G138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O122" i="26"/>
  <c r="M122" i="26"/>
  <c r="I122" i="26"/>
  <c r="G122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K119" i="26"/>
  <c r="E119" i="26"/>
  <c r="D119" i="26"/>
  <c r="E118" i="26"/>
  <c r="D118" i="26"/>
  <c r="M106" i="26"/>
  <c r="K103" i="26"/>
  <c r="I106" i="26"/>
  <c r="G106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O71" i="26" l="1"/>
  <c r="I39" i="26"/>
  <c r="G39" i="26"/>
  <c r="M39" i="26"/>
  <c r="O55" i="26"/>
  <c r="M55" i="26"/>
  <c r="G55" i="26"/>
  <c r="I55" i="26"/>
  <c r="I71" i="26"/>
  <c r="E73" i="26"/>
  <c r="E67" i="26"/>
  <c r="D67" i="26"/>
  <c r="E76" i="26"/>
  <c r="D76" i="26"/>
  <c r="E75" i="26"/>
  <c r="D75" i="26"/>
  <c r="E74" i="26"/>
  <c r="D74" i="26"/>
  <c r="D73" i="26"/>
  <c r="E72" i="26"/>
  <c r="D72" i="26"/>
  <c r="M71" i="26"/>
  <c r="G71" i="26"/>
  <c r="E71" i="26"/>
  <c r="D71" i="26"/>
  <c r="E70" i="26"/>
  <c r="D70" i="26"/>
  <c r="E69" i="26"/>
  <c r="D69" i="26"/>
  <c r="K68" i="26"/>
  <c r="E68" i="26"/>
  <c r="D68" i="26"/>
  <c r="K52" i="26"/>
  <c r="E53" i="26"/>
  <c r="D5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D53" i="26"/>
  <c r="E52" i="26"/>
  <c r="D52" i="26"/>
  <c r="E51" i="26"/>
  <c r="K36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K20" i="26"/>
  <c r="I23" i="26"/>
  <c r="G23" i="26"/>
  <c r="M23" i="26"/>
  <c r="D19" i="26"/>
  <c r="E20" i="26"/>
  <c r="E21" i="26"/>
  <c r="E22" i="26"/>
  <c r="E23" i="26"/>
  <c r="E24" i="26"/>
  <c r="E25" i="26"/>
  <c r="E26" i="26"/>
  <c r="E27" i="26"/>
  <c r="E28" i="26"/>
  <c r="E19" i="26"/>
  <c r="D20" i="26"/>
  <c r="D21" i="26"/>
  <c r="D22" i="26"/>
  <c r="D23" i="26"/>
  <c r="D24" i="26"/>
  <c r="D25" i="26"/>
  <c r="D26" i="26"/>
  <c r="D27" i="26"/>
  <c r="D28" i="26"/>
  <c r="C223" i="25"/>
  <c r="B195" i="25"/>
  <c r="J211" i="25"/>
  <c r="F194" i="25"/>
  <c r="H29" i="3"/>
  <c r="X29" i="3"/>
  <c r="E64" i="24"/>
  <c r="K165" i="25" l="1"/>
  <c r="K125" i="25"/>
  <c r="K85" i="25"/>
  <c r="K45" i="25"/>
  <c r="F154" i="25"/>
  <c r="B155" i="25" s="1"/>
  <c r="C35" i="3"/>
  <c r="F114" i="25"/>
  <c r="B115" i="25" s="1"/>
  <c r="F74" i="25"/>
  <c r="B75" i="25" s="1"/>
  <c r="K18" i="25" l="1"/>
  <c r="Q4" i="25"/>
  <c r="E62" i="17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C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B70" i="17"/>
  <c r="C63" i="17"/>
  <c r="C71" i="17" s="1"/>
  <c r="C62" i="17"/>
  <c r="C72" i="17" s="1"/>
  <c r="C73" i="17"/>
  <c r="C75" i="17"/>
  <c r="C77" i="17"/>
  <c r="C78" i="17"/>
  <c r="C79" i="17"/>
  <c r="B71" i="17"/>
  <c r="B72" i="17"/>
  <c r="B73" i="17"/>
  <c r="B74" i="17"/>
  <c r="B75" i="17"/>
  <c r="B76" i="17"/>
  <c r="B77" i="17"/>
  <c r="B78" i="17"/>
  <c r="B79" i="17"/>
  <c r="B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B63" i="17"/>
  <c r="B62" i="17"/>
  <c r="H62" i="17"/>
  <c r="D62" i="17"/>
  <c r="F62" i="17"/>
  <c r="G62" i="17"/>
  <c r="B76" i="3"/>
  <c r="H56" i="17"/>
  <c r="G56" i="17"/>
  <c r="C56" i="17"/>
  <c r="D56" i="17"/>
  <c r="E56" i="17"/>
  <c r="F56" i="17"/>
  <c r="B56" i="17"/>
  <c r="C55" i="17"/>
  <c r="D55" i="17"/>
  <c r="E55" i="17"/>
  <c r="F55" i="17"/>
  <c r="G55" i="17"/>
  <c r="H55" i="17"/>
  <c r="B55" i="17"/>
  <c r="B48" i="17"/>
  <c r="F54" i="17"/>
  <c r="H54" i="17"/>
  <c r="C54" i="17"/>
  <c r="B54" i="17"/>
  <c r="H48" i="17"/>
  <c r="C47" i="17"/>
  <c r="B47" i="17"/>
  <c r="B46" i="17"/>
  <c r="B45" i="17"/>
  <c r="C44" i="17"/>
  <c r="B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P29" i="3"/>
  <c r="E54" i="3" s="1"/>
  <c r="B29" i="3"/>
  <c r="B58" i="3" s="1"/>
  <c r="L29" i="3"/>
  <c r="D55" i="3" s="1"/>
  <c r="G55" i="3"/>
  <c r="T29" i="3"/>
  <c r="F53" i="3" s="1"/>
  <c r="C53" i="3"/>
  <c r="D35" i="3" l="1"/>
  <c r="D37" i="3"/>
  <c r="D51" i="3"/>
  <c r="D36" i="3"/>
  <c r="D53" i="3"/>
  <c r="D54" i="3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D67" i="3" s="1"/>
  <c r="E51" i="3"/>
  <c r="E44" i="3"/>
  <c r="G44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35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E64" i="3" l="1"/>
  <c r="D64" i="3"/>
  <c r="E66" i="3"/>
  <c r="E65" i="3"/>
  <c r="E67" i="3"/>
  <c r="D66" i="3"/>
  <c r="D77" i="3" s="1"/>
  <c r="D90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D83" i="3" l="1"/>
  <c r="D87" i="3"/>
  <c r="D85" i="3"/>
  <c r="D89" i="3"/>
  <c r="D84" i="3"/>
  <c r="D92" i="3"/>
  <c r="D86" i="3"/>
  <c r="D91" i="3"/>
  <c r="F76" i="3"/>
  <c r="G76" i="3"/>
  <c r="G77" i="3"/>
  <c r="D76" i="3"/>
  <c r="D88" i="3" s="1"/>
  <c r="E76" i="3"/>
  <c r="E77" i="3"/>
  <c r="C77" i="3"/>
  <c r="F77" i="3"/>
  <c r="C76" i="3"/>
  <c r="E89" i="3" l="1"/>
  <c r="E85" i="3"/>
  <c r="E90" i="3"/>
  <c r="E84" i="3"/>
  <c r="E91" i="3"/>
  <c r="E92" i="3"/>
  <c r="E86" i="3"/>
  <c r="E87" i="3"/>
  <c r="E83" i="3"/>
  <c r="E88" i="3"/>
  <c r="F90" i="3"/>
  <c r="F83" i="3"/>
  <c r="F89" i="3"/>
  <c r="F92" i="3"/>
  <c r="F84" i="3"/>
  <c r="F91" i="3"/>
  <c r="F87" i="3"/>
  <c r="F86" i="3"/>
  <c r="F88" i="3"/>
  <c r="F85" i="3"/>
  <c r="G92" i="3"/>
  <c r="G89" i="3"/>
  <c r="G90" i="3"/>
  <c r="G86" i="3"/>
  <c r="G91" i="3"/>
  <c r="G87" i="3"/>
  <c r="G83" i="3"/>
  <c r="G88" i="3"/>
  <c r="G85" i="3"/>
  <c r="G84" i="3"/>
  <c r="C92" i="3"/>
  <c r="C86" i="3"/>
  <c r="C91" i="3"/>
  <c r="C85" i="3"/>
  <c r="C83" i="3"/>
  <c r="C89" i="3"/>
  <c r="C87" i="3"/>
  <c r="C90" i="3"/>
  <c r="C84" i="3"/>
  <c r="C8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<sst xmlns="http://schemas.openxmlformats.org/spreadsheetml/2006/main" count="560" uniqueCount="118">
  <si>
    <t>{0,1}</t>
  </si>
  <si>
    <t>{2,3,4}</t>
  </si>
  <si>
    <t>{0,2}</t>
  </si>
  <si>
    <t>{1,2}</t>
  </si>
  <si>
    <t>{3,6,7}</t>
  </si>
  <si>
    <t>№</t>
  </si>
  <si>
    <t>K1 =</t>
  </si>
  <si>
    <t>K2 =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</si>
  <si>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</si>
  <si>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</si>
  <si>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</si>
  <si>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</si>
  <si>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</si>
  <si>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</si>
  <si>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</si>
  <si>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</si>
  <si>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</si>
  <si>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</si>
  <si>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</si>
  <si>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</si>
  <si>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</si>
  <si>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</si>
  <si>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</si>
  <si>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</si>
  <si>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</si>
  <si>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</si>
  <si>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</si>
  <si>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</si>
  <si>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</si>
  <si>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</si>
  <si>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</si>
  <si>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</si>
  <si>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</si>
  <si>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</si>
  <si>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</si>
  <si>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</si>
  <si>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</si>
  <si>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</si>
  <si>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</si>
  <si>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</si>
  <si>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</si>
  <si>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</si>
  <si>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</si>
  <si>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</si>
  <si>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</si>
  <si>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</si>
  <si>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</si>
  <si>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</si>
  <si>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</si>
  <si>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</si>
  <si>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</si>
  <si>
    <t>Classifying a New Object with Meta-algorithm [Heart + Disease (10, 13, 2)]</t>
  </si>
  <si>
    <t>↓</t>
  </si>
  <si>
    <t>Training Dataset for Meta-algorithm [Heart + Disease (10, 13, 2)]</t>
  </si>
  <si>
    <t>Sorted Training Dataset based on Classes for Meta-algorithm [Heart + Disease (10, 13, 2)]</t>
  </si>
  <si>
    <t>Original Training Dataset for Meta-algorithm [Heart + Disease (10, 13, 2)]</t>
  </si>
  <si>
    <t>Additional (Latent) Training Dataset for Meta-algorithm [Heart + Disease (10, 13, 2)]</t>
  </si>
  <si>
    <t>Step 1</t>
  </si>
  <si>
    <t>→</t>
  </si>
  <si>
    <t>Step 2</t>
  </si>
  <si>
    <t>The Organizer of GA with the Value of Original Training Dataset</t>
  </si>
  <si>
    <t>The Second Feature of GA with the Value of Original Training Dataset</t>
  </si>
  <si>
    <t>✅</t>
  </si>
  <si>
    <t>Apply Latent Sign Condition</t>
  </si>
  <si>
    <t>Apply Original Feature Condition</t>
  </si>
  <si>
    <t>Match?</t>
  </si>
  <si>
    <t>Sign</t>
  </si>
  <si>
    <t>+</t>
  </si>
  <si>
    <t>-</t>
  </si>
  <si>
    <t>Keep?</t>
  </si>
  <si>
    <t>&amp;</t>
  </si>
  <si>
    <t>Step 3</t>
  </si>
  <si>
    <t>Checking STEP 3 condition</t>
  </si>
  <si>
    <t>❌</t>
  </si>
  <si>
    <t>Step 4</t>
  </si>
  <si>
    <t>Compute Step 4</t>
  </si>
  <si>
    <t>Step 5</t>
  </si>
  <si>
    <t>The End</t>
  </si>
  <si>
    <t>Criterion 1 (Quantitative Features)</t>
  </si>
  <si>
    <t>We need only this FEATURE !!! Cause only this is in the SET among Quant. Features</t>
  </si>
  <si>
    <t>*</t>
  </si>
  <si>
    <t>Class 1</t>
  </si>
  <si>
    <t>Class 2</t>
  </si>
  <si>
    <t>Additional (Latent) Training Dataset [Heart + Disease (10, 13, 2)]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</si>
  <si>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</si>
  <si>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</si>
  <si>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</si>
  <si>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</si>
  <si>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</si>
  <si>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</si>
  <si>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</si>
  <si>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</si>
  <si>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</si>
  <si>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</si>
  <si>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Class 1 (X)</t>
  </si>
  <si>
    <t>Class 2 (X)</t>
  </si>
  <si>
    <t>Left margin boundary</t>
  </si>
  <si>
    <t>=</t>
  </si>
  <si>
    <t>Right margin boundary</t>
  </si>
  <si>
    <t>Margin width</t>
  </si>
  <si>
    <t xml:space="preserve">Margin </t>
  </si>
  <si>
    <t>Decision boundary (center of margin)</t>
  </si>
  <si>
    <t>Helper Columns for the Chart</t>
  </si>
  <si>
    <t>Margin with Majorizer Functions</t>
  </si>
  <si>
    <t>Margin without Majorizer Functions</t>
  </si>
  <si>
    <t>With</t>
  </si>
  <si>
    <t>Without</t>
  </si>
  <si>
    <t>Decision boundary (Margin Midpoint)</t>
  </si>
  <si>
    <t>Comparing Margins Width with and without Majorizer</t>
  </si>
  <si>
    <t>Classification Rule</t>
  </si>
  <si>
    <t>Accuracy</t>
  </si>
  <si>
    <t xml:space="preserve">Class 2 </t>
  </si>
  <si>
    <t>Margin Definition</t>
  </si>
  <si>
    <t>where,</t>
  </si>
  <si>
    <t>In our case, Margin Definition would be</t>
  </si>
  <si>
    <t>Object Margin</t>
  </si>
  <si>
    <t xml:space="preserve"> Positive (+1)</t>
  </si>
  <si>
    <t>Negative 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</si>
</sst>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1"/>
      <name val="Calibri"/>
      <family val="2"/>
    </font>
    <font>
      <sz val="1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0" borderId="0" xfId="0" applyFont="1"/>
    <xf numFmtId="0" fontId="3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2" fillId="0" borderId="0" xfId="0" applyFont="1"/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3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" borderId="0" xfId="0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9" xfId="0" applyBorder="1"/>
    <xf numFmtId="0" fontId="13" fillId="0" borderId="25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top"/>
    </xf>
    <xf numFmtId="0" fontId="1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2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24" borderId="14" xfId="0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3" borderId="23" xfId="0" applyFill="1" applyBorder="1" applyAlignment="1">
      <alignment horizontal="center"/>
    </xf>
    <xf numFmtId="0" fontId="0" fillId="23" borderId="24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0" fillId="24" borderId="4" xfId="0" applyFill="1" applyBorder="1" applyAlignment="1">
      <alignment horizontal="center" textRotation="135"/>
    </xf>
    <xf numFmtId="0" fontId="0" fillId="24" borderId="18" xfId="0" applyFill="1" applyBorder="1" applyAlignment="1">
      <alignment horizontal="center" textRotation="135"/>
    </xf>
    <xf numFmtId="0" fontId="0" fillId="23" borderId="9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3" borderId="6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2" fillId="21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Margin of</a:t>
            </a:r>
            <a:r>
              <a:rPr lang="en-US" i="1" baseline="0"/>
              <a:t>               with Majorizer Functions</a:t>
            </a:r>
            <a:r>
              <a:rPr lang="en-US" i="1"/>
              <a:t>  </a:t>
            </a:r>
          </a:p>
        </c:rich>
      </c:tx>
      <c:layout>
        <c:manualLayout>
          <c:xMode val="edge"/>
          <c:yMode val="edge"/>
          <c:x val="0.24353670299673882"/>
          <c:y val="3.4579896634060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AC4-4F5F-897F-2623259F75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556B7A-2E1C-4F07-A2FE-AAF58150F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AC4-4F5F-897F-2623259F75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AC4-4F5F-897F-2623259F75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008DC3-8DBE-4D88-B79B-0D79D513D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AC4-4F5F-897F-2623259F75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59CBD5-C387-466E-8D43-7E282CC8D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AC4-4F5F-897F-2623259F75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621BBE-FCAC-48D4-9F4F-4F823E337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AC4-4F5F-897F-2623259F754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AC4-4F5F-897F-2623259F754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AC4-4F5F-897F-2623259F754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AC4-4F5F-897F-2623259F754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AC4-4F5F-897F-2623259F7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Analysis'!$A$19:$A$28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Analysis'!$D$19:$D$28</c:f>
              <c:numCache>
                <c:formatCode>General</c:formatCode>
                <c:ptCount val="10"/>
                <c:pt idx="0">
                  <c:v>#N/A</c:v>
                </c:pt>
                <c:pt idx="1">
                  <c:v>0.40872845598398955</c:v>
                </c:pt>
                <c:pt idx="2">
                  <c:v>#N/A</c:v>
                </c:pt>
                <c:pt idx="3">
                  <c:v>0.23923915005200891</c:v>
                </c:pt>
                <c:pt idx="4">
                  <c:v>0.40872845598398955</c:v>
                </c:pt>
                <c:pt idx="5">
                  <c:v>0.23923915005200891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Analysis'!$A$19:$A$28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AC4-4F5F-897F-2623259F754B}"/>
            </c:ext>
          </c:extLst>
        </c:ser>
        <c:ser>
          <c:idx val="1"/>
          <c:order val="1"/>
          <c:tx>
            <c:v>Class 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4607126-5007-4AEC-891F-4CAD9196A6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AC4-4F5F-897F-2623259F75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AC4-4F5F-897F-2623259F75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EFC937-65CA-4640-9F30-59F5431EE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AC4-4F5F-897F-2623259F75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AC4-4F5F-897F-2623259F75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AC4-4F5F-897F-2623259F75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AC4-4F5F-897F-2623259F754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666BFB-8BF3-4205-8D6F-F2D7D9A42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AC4-4F5F-897F-2623259F754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F71EC7-C617-47A2-A294-CED37A3D2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AC4-4F5F-897F-2623259F754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A1CB6E9-F45D-48A1-8CD5-4898B5BE4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AC4-4F5F-897F-2623259F754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F0A6E5-58C1-4811-961E-9530D62CF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AC4-4F5F-897F-2623259F7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Analysis'!$A$19:$A$28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Analysis'!$E$19:$E$28</c:f>
              <c:numCache>
                <c:formatCode>General</c:formatCode>
                <c:ptCount val="10"/>
                <c:pt idx="0">
                  <c:v>-0.37806568533891394</c:v>
                </c:pt>
                <c:pt idx="1">
                  <c:v>#N/A</c:v>
                </c:pt>
                <c:pt idx="2">
                  <c:v>-0.14942741726637135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-0.32058777621177315</c:v>
                </c:pt>
                <c:pt idx="7">
                  <c:v>-0.37806568533891394</c:v>
                </c:pt>
                <c:pt idx="8">
                  <c:v>-0.37806568533891394</c:v>
                </c:pt>
                <c:pt idx="9">
                  <c:v>-0.37806568533891394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Analysis'!$A$19:$A$28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AC4-4F5F-897F-2623259F7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403696"/>
        <c:axId val="355313904"/>
      </c:scatterChart>
      <c:valAx>
        <c:axId val="5584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13904"/>
        <c:crosses val="autoZero"/>
        <c:crossBetween val="midCat"/>
      </c:valAx>
      <c:valAx>
        <c:axId val="3553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Margin</a:t>
            </a:r>
            <a:r>
              <a:rPr lang="en-US" b="1" i="1" baseline="0"/>
              <a:t> of               without Majorizer Functions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A56-414E-B1EE-FDA1770909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661C36-A4BE-45C1-95FD-AA5EB700C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A56-414E-B1EE-FDA1770909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A56-414E-B1EE-FDA1770909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1B3D75-D876-4D09-A871-59629038C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A56-414E-B1EE-FDA1770909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CD71D7-22AA-43FD-953A-AAE662CE2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56-414E-B1EE-FDA1770909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47D8970-BCCA-4EB5-A28A-1A8110A67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56-414E-B1EE-FDA1770909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56-414E-B1EE-FDA1770909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A56-414E-B1EE-FDA1770909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56-414E-B1EE-FDA1770909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56-414E-B1EE-FDA177090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Analysis'!$A$102:$A$111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Analysis'!$D$102:$D$111</c:f>
              <c:numCache>
                <c:formatCode>General</c:formatCode>
                <c:ptCount val="10"/>
                <c:pt idx="0">
                  <c:v>#N/A</c:v>
                </c:pt>
                <c:pt idx="1">
                  <c:v>0.29158564799999998</c:v>
                </c:pt>
                <c:pt idx="2">
                  <c:v>#N/A</c:v>
                </c:pt>
                <c:pt idx="3">
                  <c:v>0.194606481</c:v>
                </c:pt>
                <c:pt idx="4">
                  <c:v>0.29158564799999998</c:v>
                </c:pt>
                <c:pt idx="5">
                  <c:v>0.194606481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Analysis'!$A$102:$A$111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56-414E-B1EE-FDA177090979}"/>
            </c:ext>
          </c:extLst>
        </c:ser>
        <c:ser>
          <c:idx val="1"/>
          <c:order val="1"/>
          <c:tx>
            <c:v>Class 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E13D469-1C85-4A9E-8F60-756A66781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A56-414E-B1EE-FDA1770909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56-414E-B1EE-FDA1770909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4FA1C2-2316-492F-BF0F-B41C12B5B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A56-414E-B1EE-FDA1770909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56-414E-B1EE-FDA1770909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56-414E-B1EE-FDA1770909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A56-414E-B1EE-FDA1770909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FAFA99-68B8-4930-8CF8-DEB70F817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A56-414E-B1EE-FDA1770909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3CE13D0-E2CA-432C-8B3E-ED5D94026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56-414E-B1EE-FDA1770909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FBC4E9-23EA-409A-884E-E896626B8B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A56-414E-B1EE-FDA1770909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35E5137-6908-4F18-8A87-FE88186ED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A56-414E-B1EE-FDA177090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Analysis'!$A$102:$A$111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Analysis'!$E$102:$E$111</c:f>
              <c:numCache>
                <c:formatCode>General</c:formatCode>
                <c:ptCount val="10"/>
                <c:pt idx="0">
                  <c:v>0.67119378299999999</c:v>
                </c:pt>
                <c:pt idx="1">
                  <c:v>#N/A</c:v>
                </c:pt>
                <c:pt idx="2">
                  <c:v>-0.78268683900000002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-0.78268683900000002</c:v>
                </c:pt>
                <c:pt idx="7">
                  <c:v>-1.1171660050000001</c:v>
                </c:pt>
                <c:pt idx="8">
                  <c:v>-1.1171660050000001</c:v>
                </c:pt>
                <c:pt idx="9">
                  <c:v>-1.1171660050000001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Analysis'!$A$102:$A$111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A56-414E-B1EE-FDA17709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02367"/>
        <c:axId val="827516927"/>
      </c:scatterChart>
      <c:valAx>
        <c:axId val="82750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16927"/>
        <c:crosses val="autoZero"/>
        <c:crossBetween val="midCat"/>
      </c:valAx>
      <c:valAx>
        <c:axId val="827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0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none" strike="noStrike" baseline="0"/>
              <a:t>Margin Distribution of Training Objects with Majorizer</a:t>
            </a:r>
            <a:endParaRPr lang="en-US" sz="12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C670774-5B68-4C2E-B687-AE9893FA48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91-40AC-B733-A0FEB6FF05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18FB45-D2FB-40A2-BC23-15E7C506E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91-40AC-B733-A0FEB6FF05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915C6E7-5051-4069-8179-00769C5D9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91-40AC-B733-A0FEB6FF05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2E2ADBE-6DFF-499C-895F-FBF5B7C23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91-40AC-B733-A0FEB6FF05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F49D49-60FF-49EB-A274-E5B799F22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F91-40AC-B733-A0FEB6FF05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A92B5-7984-467A-A6A7-BB06F5984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91-40AC-B733-A0FEB6FF05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294D00-0CDD-4ECE-B42C-DEB076761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91-40AC-B733-A0FEB6FF05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35F564-6205-452D-A6C2-A8B10CD2C4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91-40AC-B733-A0FEB6FF05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10C1AE-9741-4F4E-9F99-EA7F08DF5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F91-40AC-B733-A0FEB6FF05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773190-FF36-4412-A766-61AB7A190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91-40AC-B733-A0FEB6FF05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Analysis'!$Q$19:$Q$28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Analysis'!$R$19:$R$28</c:f>
              <c:numCache>
                <c:formatCode>General</c:formatCode>
                <c:ptCount val="10"/>
                <c:pt idx="0">
                  <c:v>0.42297155173173273</c:v>
                </c:pt>
                <c:pt idx="1">
                  <c:v>0.36382258959117075</c:v>
                </c:pt>
                <c:pt idx="2">
                  <c:v>0.19433328365919011</c:v>
                </c:pt>
                <c:pt idx="3">
                  <c:v>0.19433328365919011</c:v>
                </c:pt>
                <c:pt idx="4">
                  <c:v>0.36382258959117075</c:v>
                </c:pt>
                <c:pt idx="5">
                  <c:v>0.19433328365919011</c:v>
                </c:pt>
                <c:pt idx="6">
                  <c:v>0.36549364260459194</c:v>
                </c:pt>
                <c:pt idx="7">
                  <c:v>0.42297155173173273</c:v>
                </c:pt>
                <c:pt idx="8">
                  <c:v>0.42297155173173273</c:v>
                </c:pt>
                <c:pt idx="9">
                  <c:v>0.42297155173173273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Analysis'!$Q$19:$Q$28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F91-40AC-B733-A0FEB6FF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18463"/>
        <c:axId val="1190427199"/>
      </c:scatterChart>
      <c:valAx>
        <c:axId val="11904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27199"/>
        <c:crosses val="autoZero"/>
        <c:crossBetween val="midCat"/>
      </c:valAx>
      <c:valAx>
        <c:axId val="11904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1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baseline="0">
                <a:effectLst/>
              </a:rPr>
              <a:t>Margin Distribution of Training Objects with Majorizer</a:t>
            </a:r>
            <a:endParaRPr lang="en-US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A9CD176-9B31-498E-ACA9-8FAA49814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07C-48D2-A662-BFA471587F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CF7730-166D-4C34-A1F0-C97E0BC37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7C-48D2-A662-BFA471587F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2D7808-13CE-4BF0-9AE2-BB17A00F9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7C-48D2-A662-BFA471587FB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EBA370-B4BC-49C8-A166-A32E08154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07C-48D2-A662-BFA471587FB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125EA2-58F1-4C9C-86CC-F8E51E95D9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07C-48D2-A662-BFA471587FB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AC4106-9AC3-4C34-9424-FD6A5C846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07C-48D2-A662-BFA471587FB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125949-B2A0-4A43-B159-BA3F645C6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07C-48D2-A662-BFA471587FB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08230B-FEBC-4D3D-A081-1B0310833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07C-48D2-A662-BFA471587FB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54953A5-D129-42D4-A0DE-421A3D0D0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07C-48D2-A662-BFA471587FB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EE3A0C-558E-435A-87BC-2B5665A93D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07C-48D2-A662-BFA471587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'Margin Analysis'!$Q$102:$Q$111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xVal>
          <c:yVal>
            <c:numRef>
              <c:f>'Margin Analysis'!$R$102:$R$111</c:f>
              <c:numCache>
                <c:formatCode>General</c:formatCode>
                <c:ptCount val="10"/>
                <c:pt idx="0">
                  <c:v>-0.238293651</c:v>
                </c:pt>
                <c:pt idx="1">
                  <c:v>-0.14131448400000002</c:v>
                </c:pt>
                <c:pt idx="2">
                  <c:v>1.215586971</c:v>
                </c:pt>
                <c:pt idx="3">
                  <c:v>-0.238293651</c:v>
                </c:pt>
                <c:pt idx="4">
                  <c:v>-0.14131448400000002</c:v>
                </c:pt>
                <c:pt idx="5">
                  <c:v>-0.238293651</c:v>
                </c:pt>
                <c:pt idx="6">
                  <c:v>1.215586971</c:v>
                </c:pt>
                <c:pt idx="7">
                  <c:v>1.550066137</c:v>
                </c:pt>
                <c:pt idx="8">
                  <c:v>1.550066137</c:v>
                </c:pt>
                <c:pt idx="9">
                  <c:v>1.550066137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'Margin Analysis'!$Q$102:$Q$111</c15:f>
                <c15:dlblRangeCache>
                  <c:ptCount val="10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  <c:pt idx="5">
                    <c:v>S6</c:v>
                  </c:pt>
                  <c:pt idx="6">
                    <c:v>S7</c:v>
                  </c:pt>
                  <c:pt idx="7">
                    <c:v>S8</c:v>
                  </c:pt>
                  <c:pt idx="8">
                    <c:v>S9</c:v>
                  </c:pt>
                  <c:pt idx="9">
                    <c:v>S10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7C-48D2-A662-BFA47158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36239"/>
        <c:axId val="1446537903"/>
      </c:scatterChart>
      <c:valAx>
        <c:axId val="144653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37903"/>
        <c:crosses val="autoZero"/>
        <c:crossBetween val="midCat"/>
      </c:valAx>
      <c:valAx>
        <c:axId val="14465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Object</a:t>
                </a:r>
                <a:r>
                  <a:rPr lang="en-US" b="1" i="1" baseline="0"/>
                  <a:t> Margin</a:t>
                </a:r>
                <a:endParaRPr lang="en-US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3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299721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99721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222674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2236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231141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8884074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5</xdr:row>
      <xdr:rowOff>186266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9527540" y="1159933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215051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3398518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142239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72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158326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811259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4791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150706</xdr:colOff>
      <xdr:row>27</xdr:row>
      <xdr:rowOff>193886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917506" y="5485553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19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23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20</xdr:row>
      <xdr:rowOff>201505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41131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18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22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80431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429498" y="13614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5</xdr:row>
      <xdr:rowOff>186266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10247209" y="1159933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3</xdr:col>
      <xdr:colOff>251460</xdr:colOff>
      <xdr:row>17</xdr:row>
      <xdr:rowOff>91440</xdr:rowOff>
    </xdr:from>
    <xdr:to>
      <xdr:col>3</xdr:col>
      <xdr:colOff>693420</xdr:colOff>
      <xdr:row>21</xdr:row>
      <xdr:rowOff>99060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21B959D4-E177-4151-9D4C-CD0A5FB29A4C}"/>
            </a:ext>
          </a:extLst>
        </xdr:cNvPr>
        <xdr:cNvSpPr/>
      </xdr:nvSpPr>
      <xdr:spPr>
        <a:xfrm>
          <a:off x="2705100" y="3459480"/>
          <a:ext cx="441960" cy="822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251460</xdr:colOff>
      <xdr:row>22</xdr:row>
      <xdr:rowOff>106680</xdr:rowOff>
    </xdr:from>
    <xdr:to>
      <xdr:col>3</xdr:col>
      <xdr:colOff>693420</xdr:colOff>
      <xdr:row>26</xdr:row>
      <xdr:rowOff>106680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6171B5CA-CA31-4C67-92DE-1493AFEE93DE}"/>
            </a:ext>
          </a:extLst>
        </xdr:cNvPr>
        <xdr:cNvSpPr/>
      </xdr:nvSpPr>
      <xdr:spPr>
        <a:xfrm>
          <a:off x="2705100" y="4495800"/>
          <a:ext cx="441960" cy="79248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43</xdr:row>
      <xdr:rowOff>12699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10579099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10850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11358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29632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1612032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29632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11104032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1</xdr:row>
      <xdr:rowOff>10161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2387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1</xdr:row>
      <xdr:rowOff>10161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2387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1</xdr:row>
      <xdr:rowOff>10161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8086513" y="2387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65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94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81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5043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27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6186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957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422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37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3824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3062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1382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13062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13062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30627" y="1606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30627" y="1835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30627" y="2064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30627" y="2292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96759" y="2521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903139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97627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1</xdr:row>
      <xdr:rowOff>10161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921153" y="2387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21</xdr:row>
      <xdr:rowOff>2541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5821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21</xdr:row>
      <xdr:rowOff>2541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5821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21</xdr:row>
      <xdr:rowOff>2541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5821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2639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21</xdr:row>
      <xdr:rowOff>2541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8071273" y="45821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70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7A2C8FB-AECC-43CB-AA16-C1CD616C4FE9}"/>
                </a:ext>
              </a:extLst>
            </xdr:cNvPr>
            <xdr:cNvSpPr txBox="1"/>
          </xdr:nvSpPr>
          <xdr:spPr>
            <a:xfrm>
              <a:off x="190500" y="44424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D170F34-33C6-4A56-9E64-DFA942D9ADF1}"/>
                </a:ext>
              </a:extLst>
            </xdr:cNvPr>
            <xdr:cNvSpPr txBox="1"/>
          </xdr:nvSpPr>
          <xdr:spPr>
            <a:xfrm>
              <a:off x="173567" y="5691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AFACDE5-1F2B-417E-9DDD-EFC8F308A865}"/>
                </a:ext>
              </a:extLst>
            </xdr:cNvPr>
            <xdr:cNvSpPr txBox="1"/>
          </xdr:nvSpPr>
          <xdr:spPr>
            <a:xfrm>
              <a:off x="173567" y="5919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E3561B83-877B-42DE-9B6C-30C0E9ED9832}"/>
                </a:ext>
              </a:extLst>
            </xdr:cNvPr>
            <xdr:cNvSpPr txBox="1"/>
          </xdr:nvSpPr>
          <xdr:spPr>
            <a:xfrm>
              <a:off x="173567" y="1369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E976D8E-860B-449A-AA40-F63FD539E455}"/>
                </a:ext>
              </a:extLst>
            </xdr:cNvPr>
            <xdr:cNvSpPr txBox="1"/>
          </xdr:nvSpPr>
          <xdr:spPr>
            <a:xfrm>
              <a:off x="173567" y="1392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91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A2AAE8FE-13E6-4661-A5E6-4F4672C429D9}"/>
                </a:ext>
              </a:extLst>
            </xdr:cNvPr>
            <xdr:cNvSpPr txBox="1"/>
          </xdr:nvSpPr>
          <xdr:spPr>
            <a:xfrm>
              <a:off x="173567" y="6605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92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2AD3B240-DA8B-4A43-A6F0-B4F985D8086B}"/>
                </a:ext>
              </a:extLst>
            </xdr:cNvPr>
            <xdr:cNvSpPr txBox="1"/>
          </xdr:nvSpPr>
          <xdr:spPr>
            <a:xfrm>
              <a:off x="165947" y="6834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26DFA5E-8ECC-45BD-8C08-776316E1F5FE}"/>
                </a:ext>
              </a:extLst>
            </xdr:cNvPr>
            <xdr:cNvSpPr txBox="1"/>
          </xdr:nvSpPr>
          <xdr:spPr>
            <a:xfrm>
              <a:off x="173567" y="14606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A9D1F704-06AF-4F32-A73D-8C1352DED7D3}"/>
                </a:ext>
              </a:extLst>
            </xdr:cNvPr>
            <xdr:cNvSpPr txBox="1"/>
          </xdr:nvSpPr>
          <xdr:spPr>
            <a:xfrm>
              <a:off x="173567" y="14835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1BA25B0-1172-48E9-BFB9-0B4363E61C59}"/>
                </a:ext>
              </a:extLst>
            </xdr:cNvPr>
            <xdr:cNvSpPr txBox="1"/>
          </xdr:nvSpPr>
          <xdr:spPr>
            <a:xfrm>
              <a:off x="173567" y="7520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96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4C178CD-9264-42E1-8AB8-0565E985ADA4}"/>
                </a:ext>
              </a:extLst>
            </xdr:cNvPr>
            <xdr:cNvSpPr txBox="1"/>
          </xdr:nvSpPr>
          <xdr:spPr>
            <a:xfrm>
              <a:off x="139699" y="185233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8D7F5D6-A187-40B1-A40B-9621E6486B1F}"/>
                </a:ext>
              </a:extLst>
            </xdr:cNvPr>
            <xdr:cNvSpPr txBox="1"/>
          </xdr:nvSpPr>
          <xdr:spPr>
            <a:xfrm>
              <a:off x="8170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5B759C6-C484-426C-A672-5545551B297D}"/>
                </a:ext>
              </a:extLst>
            </xdr:cNvPr>
            <xdr:cNvSpPr txBox="1"/>
          </xdr:nvSpPr>
          <xdr:spPr>
            <a:xfrm>
              <a:off x="16933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6C31065-1699-46EA-9857-25B533423709}"/>
                </a:ext>
              </a:extLst>
            </xdr:cNvPr>
            <xdr:cNvSpPr txBox="1"/>
          </xdr:nvSpPr>
          <xdr:spPr>
            <a:xfrm>
              <a:off x="2546773" y="545084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E579688-0719-4652-AE21-F206C0032193}"/>
                </a:ext>
              </a:extLst>
            </xdr:cNvPr>
            <xdr:cNvSpPr txBox="1"/>
          </xdr:nvSpPr>
          <xdr:spPr>
            <a:xfrm>
              <a:off x="3445933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00887AE-00C6-419B-AB96-7141AA01B88D}"/>
                </a:ext>
              </a:extLst>
            </xdr:cNvPr>
            <xdr:cNvSpPr txBox="1"/>
          </xdr:nvSpPr>
          <xdr:spPr>
            <a:xfrm>
              <a:off x="4305299" y="5450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C359367-B479-44C0-BC32-D1DDEADB69AC}"/>
                </a:ext>
              </a:extLst>
            </xdr:cNvPr>
            <xdr:cNvSpPr txBox="1"/>
          </xdr:nvSpPr>
          <xdr:spPr>
            <a:xfrm>
              <a:off x="204047" y="9889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A5FCEE4-170F-41C5-9DC1-779C2F6158FC}"/>
                </a:ext>
              </a:extLst>
            </xdr:cNvPr>
            <xdr:cNvSpPr txBox="1"/>
          </xdr:nvSpPr>
          <xdr:spPr>
            <a:xfrm>
              <a:off x="204047" y="8967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3EFE6C9-4CF4-4A72-853F-7CD1625BA534}"/>
                </a:ext>
              </a:extLst>
            </xdr:cNvPr>
            <xdr:cNvSpPr txBox="1"/>
          </xdr:nvSpPr>
          <xdr:spPr>
            <a:xfrm>
              <a:off x="188807" y="10118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9649B71-00E4-4219-9674-DB2A130E8EA8}"/>
                </a:ext>
              </a:extLst>
            </xdr:cNvPr>
            <xdr:cNvSpPr txBox="1"/>
          </xdr:nvSpPr>
          <xdr:spPr>
            <a:xfrm>
              <a:off x="204047" y="9196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A6DFEAD-9760-409E-B7FC-2B18AFBCAADC}"/>
                </a:ext>
              </a:extLst>
            </xdr:cNvPr>
            <xdr:cNvSpPr txBox="1"/>
          </xdr:nvSpPr>
          <xdr:spPr>
            <a:xfrm>
              <a:off x="204047" y="16984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3CDEEEB-D756-4FCF-84C6-952DAC5369EB}"/>
                </a:ext>
              </a:extLst>
            </xdr:cNvPr>
            <xdr:cNvSpPr txBox="1"/>
          </xdr:nvSpPr>
          <xdr:spPr>
            <a:xfrm>
              <a:off x="204047" y="17212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633EDBA-CE16-47CA-9DE8-F2D071BF2E91}"/>
                </a:ext>
              </a:extLst>
            </xdr:cNvPr>
            <xdr:cNvSpPr txBox="1"/>
          </xdr:nvSpPr>
          <xdr:spPr>
            <a:xfrm>
              <a:off x="188807" y="17898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FA616C5-7941-475A-93DC-1401B874AB26}"/>
                </a:ext>
              </a:extLst>
            </xdr:cNvPr>
            <xdr:cNvSpPr txBox="1"/>
          </xdr:nvSpPr>
          <xdr:spPr>
            <a:xfrm>
              <a:off x="188807" y="18127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8C6C9E3-799A-4772-8D77-0BC1E4999FF5}"/>
                </a:ext>
              </a:extLst>
            </xdr:cNvPr>
            <xdr:cNvSpPr txBox="1"/>
          </xdr:nvSpPr>
          <xdr:spPr>
            <a:xfrm>
              <a:off x="188807" y="1080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154939</xdr:colOff>
      <xdr:row>111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F643C0C-9D0B-4415-8B99-7A816B29A163}"/>
                </a:ext>
              </a:extLst>
            </xdr:cNvPr>
            <xdr:cNvSpPr txBox="1"/>
          </xdr:nvSpPr>
          <xdr:spPr>
            <a:xfrm>
              <a:off x="154939" y="110329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33DD93-523C-4A39-B89F-01A58DB17C03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A45BD32-2BD0-4AB2-B5DF-C664C64890CA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521C37E-D40E-45C8-98E6-9D36F2913066}"/>
                </a:ext>
              </a:extLst>
            </xdr:cNvPr>
            <xdr:cNvSpPr txBox="1"/>
          </xdr:nvSpPr>
          <xdr:spPr>
            <a:xfrm>
              <a:off x="188807" y="1341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4E17051D-2E6D-412D-9836-EECF82D019F2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920B1A4B-E597-4D08-852F-D505916D7007}"/>
                </a:ext>
              </a:extLst>
            </xdr:cNvPr>
            <xdr:cNvSpPr txBox="1"/>
          </xdr:nvSpPr>
          <xdr:spPr>
            <a:xfrm>
              <a:off x="204047" y="2027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8D522601-3C1D-458A-8776-31473A66F45A}"/>
                </a:ext>
              </a:extLst>
            </xdr:cNvPr>
            <xdr:cNvSpPr txBox="1"/>
          </xdr:nvSpPr>
          <xdr:spPr>
            <a:xfrm>
              <a:off x="204047" y="205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F6CC82F6-37C3-4BEF-A303-B8EA906F03DE}"/>
                </a:ext>
              </a:extLst>
            </xdr:cNvPr>
            <xdr:cNvSpPr txBox="1"/>
          </xdr:nvSpPr>
          <xdr:spPr>
            <a:xfrm>
              <a:off x="188807" y="2119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F49BBFEB-BD04-48D1-9417-F9F447227204}"/>
                </a:ext>
              </a:extLst>
            </xdr:cNvPr>
            <xdr:cNvSpPr txBox="1"/>
          </xdr:nvSpPr>
          <xdr:spPr>
            <a:xfrm>
              <a:off x="188807" y="2141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181187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FC90161B-B870-423D-A514-598B9FFA7905}"/>
                </a:ext>
              </a:extLst>
            </xdr:cNvPr>
            <xdr:cNvSpPr txBox="1"/>
          </xdr:nvSpPr>
          <xdr:spPr>
            <a:xfrm>
              <a:off x="181187" y="2744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3E41133B-A3C8-486E-BA3C-604C0A290B2A}"/>
                </a:ext>
              </a:extLst>
            </xdr:cNvPr>
            <xdr:cNvSpPr txBox="1"/>
          </xdr:nvSpPr>
          <xdr:spPr>
            <a:xfrm>
              <a:off x="16255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7514DB7-E74A-4DF0-BBB4-83E1617C6F71}"/>
                </a:ext>
              </a:extLst>
            </xdr:cNvPr>
            <xdr:cNvSpPr txBox="1"/>
          </xdr:nvSpPr>
          <xdr:spPr>
            <a:xfrm>
              <a:off x="8170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F052BF7F-1913-455D-A2AC-6262CEC5D959}"/>
                </a:ext>
              </a:extLst>
            </xdr:cNvPr>
            <xdr:cNvSpPr txBox="1"/>
          </xdr:nvSpPr>
          <xdr:spPr>
            <a:xfrm>
              <a:off x="16933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68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970CD79-3D9E-4116-B9A5-8BC1BB407827}"/>
                </a:ext>
              </a:extLst>
            </xdr:cNvPr>
            <xdr:cNvSpPr txBox="1"/>
          </xdr:nvSpPr>
          <xdr:spPr>
            <a:xfrm>
              <a:off x="2546773" y="39878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34EF4C6-DA46-4FF8-A4DF-304ABA4FD38E}"/>
                </a:ext>
              </a:extLst>
            </xdr:cNvPr>
            <xdr:cNvSpPr txBox="1"/>
          </xdr:nvSpPr>
          <xdr:spPr>
            <a:xfrm>
              <a:off x="3445933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68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D9FAFFE-BA62-4BCC-B005-9767A4E964A0}"/>
                </a:ext>
              </a:extLst>
            </xdr:cNvPr>
            <xdr:cNvSpPr txBox="1"/>
          </xdr:nvSpPr>
          <xdr:spPr>
            <a:xfrm>
              <a:off x="4305299" y="39878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AF94CC3-F191-4E40-8415-8C86C3DDA5D4}"/>
                </a:ext>
              </a:extLst>
            </xdr:cNvPr>
            <xdr:cNvSpPr txBox="1"/>
          </xdr:nvSpPr>
          <xdr:spPr>
            <a:xfrm>
              <a:off x="519091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3AC24F6-39F4-48C6-B86F-90364EEC48E6}"/>
                </a:ext>
              </a:extLst>
            </xdr:cNvPr>
            <xdr:cNvSpPr txBox="1"/>
          </xdr:nvSpPr>
          <xdr:spPr>
            <a:xfrm>
              <a:off x="603673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F1F260A-E363-4128-940B-446FD7FF9518}"/>
                </a:ext>
              </a:extLst>
            </xdr:cNvPr>
            <xdr:cNvSpPr txBox="1"/>
          </xdr:nvSpPr>
          <xdr:spPr>
            <a:xfrm>
              <a:off x="6935893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86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1C797F3-8DDE-4306-A628-A99D4AE7FEE4}"/>
                </a:ext>
              </a:extLst>
            </xdr:cNvPr>
            <xdr:cNvSpPr txBox="1"/>
          </xdr:nvSpPr>
          <xdr:spPr>
            <a:xfrm>
              <a:off x="7795259" y="54584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6E31600-3A7C-4A1F-B5F8-94D9FF3DA2C4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EED9FAC-A877-4EE8-9936-003174FF1DF7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101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8C8B4A2-0445-4994-A626-8BDFF684868F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78FF2BA6-F5D1-46D6-9F92-63DD2AB41106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101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B84E4A0-D883-42C3-970F-F04172440983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199813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CB523B2B-1014-4E6F-84C4-B8742F572FF9}"/>
                </a:ext>
              </a:extLst>
            </xdr:cNvPr>
            <xdr:cNvSpPr txBox="1"/>
          </xdr:nvSpPr>
          <xdr:spPr>
            <a:xfrm>
              <a:off x="519091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169333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546D9F86-A3AF-4007-90F7-77C0965DF8BA}"/>
                </a:ext>
              </a:extLst>
            </xdr:cNvPr>
            <xdr:cNvSpPr txBox="1"/>
          </xdr:nvSpPr>
          <xdr:spPr>
            <a:xfrm>
              <a:off x="603673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192193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7BB6B61-2FCD-4320-ABF7-E272EE9E4D2F}"/>
                </a:ext>
              </a:extLst>
            </xdr:cNvPr>
            <xdr:cNvSpPr txBox="1"/>
          </xdr:nvSpPr>
          <xdr:spPr>
            <a:xfrm>
              <a:off x="6935893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175259</xdr:colOff>
      <xdr:row>101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7BCF0C2-1874-484D-8780-E7EFA9AC10B2}"/>
                </a:ext>
              </a:extLst>
            </xdr:cNvPr>
            <xdr:cNvSpPr txBox="1"/>
          </xdr:nvSpPr>
          <xdr:spPr>
            <a:xfrm>
              <a:off x="7795259" y="87503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D47408B-963D-485B-8341-D9283B3585A0}"/>
                </a:ext>
              </a:extLst>
            </xdr:cNvPr>
            <xdr:cNvSpPr txBox="1"/>
          </xdr:nvSpPr>
          <xdr:spPr>
            <a:xfrm>
              <a:off x="8170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1DC6B14-B884-4B8E-9DDD-77C549972694}"/>
                </a:ext>
              </a:extLst>
            </xdr:cNvPr>
            <xdr:cNvSpPr txBox="1"/>
          </xdr:nvSpPr>
          <xdr:spPr>
            <a:xfrm>
              <a:off x="16933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116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DF7BFAAE-C74B-4259-97D3-2A7BDBFE6F04}"/>
                </a:ext>
              </a:extLst>
            </xdr:cNvPr>
            <xdr:cNvSpPr txBox="1"/>
          </xdr:nvSpPr>
          <xdr:spPr>
            <a:xfrm>
              <a:off x="2546773" y="1203452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A652BCDA-A239-44AA-B8F6-FC6F34B8584C}"/>
                </a:ext>
              </a:extLst>
            </xdr:cNvPr>
            <xdr:cNvSpPr txBox="1"/>
          </xdr:nvSpPr>
          <xdr:spPr>
            <a:xfrm>
              <a:off x="3445933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116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741D2080-5123-48F2-AE16-DC3C19D755AC}"/>
                </a:ext>
              </a:extLst>
            </xdr:cNvPr>
            <xdr:cNvSpPr txBox="1"/>
          </xdr:nvSpPr>
          <xdr:spPr>
            <a:xfrm>
              <a:off x="4305299" y="1203452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E4D31A00-DA90-4FE4-8C04-9DF84CD3F35F}"/>
                </a:ext>
              </a:extLst>
            </xdr:cNvPr>
            <xdr:cNvSpPr txBox="1"/>
          </xdr:nvSpPr>
          <xdr:spPr>
            <a:xfrm>
              <a:off x="521377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1FF2C765-FE87-45AD-94CB-A40677217413}"/>
                </a:ext>
              </a:extLst>
            </xdr:cNvPr>
            <xdr:cNvSpPr txBox="1"/>
          </xdr:nvSpPr>
          <xdr:spPr>
            <a:xfrm>
              <a:off x="605959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3940DCE-F1B1-4FB2-A9A0-781B58969FE1}"/>
                </a:ext>
              </a:extLst>
            </xdr:cNvPr>
            <xdr:cNvSpPr txBox="1"/>
          </xdr:nvSpPr>
          <xdr:spPr>
            <a:xfrm>
              <a:off x="6958753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6CC6F473-2356-4A92-B541-B7F86C712B4B}"/>
                </a:ext>
              </a:extLst>
            </xdr:cNvPr>
            <xdr:cNvSpPr txBox="1"/>
          </xdr:nvSpPr>
          <xdr:spPr>
            <a:xfrm>
              <a:off x="7818119" y="1631696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121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CE61502-AC31-4F03-816D-CC3C04B552F3}"/>
                </a:ext>
              </a:extLst>
            </xdr:cNvPr>
            <xdr:cNvSpPr txBox="1"/>
          </xdr:nvSpPr>
          <xdr:spPr>
            <a:xfrm>
              <a:off x="7123007" y="2074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8B9D0D-9E77-4131-9242-6A63B3110FED}"/>
                </a:ext>
              </a:extLst>
            </xdr:cNvPr>
            <xdr:cNvSpPr txBox="1"/>
          </xdr:nvSpPr>
          <xdr:spPr>
            <a:xfrm>
              <a:off x="7123007" y="19826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5504106-1DD0-4263-B482-2C1DADCF8761}"/>
                </a:ext>
              </a:extLst>
            </xdr:cNvPr>
            <xdr:cNvSpPr txBox="1"/>
          </xdr:nvSpPr>
          <xdr:spPr>
            <a:xfrm>
              <a:off x="7107767" y="20977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356447</xdr:colOff>
      <xdr:row>118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371EC5E-BA62-4788-A056-F1E7C7C07BCC}"/>
                </a:ext>
              </a:extLst>
            </xdr:cNvPr>
            <xdr:cNvSpPr txBox="1"/>
          </xdr:nvSpPr>
          <xdr:spPr>
            <a:xfrm>
              <a:off x="7123007" y="20054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119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6D5DF6F-701A-4913-9D0E-19853A8E371E}"/>
                </a:ext>
              </a:extLst>
            </xdr:cNvPr>
            <xdr:cNvSpPr txBox="1"/>
          </xdr:nvSpPr>
          <xdr:spPr>
            <a:xfrm>
              <a:off x="7130627" y="2029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364067</xdr:colOff>
      <xdr:row>120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527DDC7B-8D19-413B-B228-BF6621E666D4}"/>
                </a:ext>
              </a:extLst>
            </xdr:cNvPr>
            <xdr:cNvSpPr txBox="1"/>
          </xdr:nvSpPr>
          <xdr:spPr>
            <a:xfrm>
              <a:off x="7130627" y="2051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C12C0B9-61C9-490C-84DE-782A5283473D}"/>
                </a:ext>
              </a:extLst>
            </xdr:cNvPr>
            <xdr:cNvSpPr txBox="1"/>
          </xdr:nvSpPr>
          <xdr:spPr>
            <a:xfrm>
              <a:off x="7115387" y="21205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124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6E8B2DCF-759A-4F81-B829-30E09F4C7095}"/>
                </a:ext>
              </a:extLst>
            </xdr:cNvPr>
            <xdr:cNvSpPr txBox="1"/>
          </xdr:nvSpPr>
          <xdr:spPr>
            <a:xfrm>
              <a:off x="7115387" y="2143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40E0CA89-BBA1-41D4-BEB3-C99A5065B734}"/>
                </a:ext>
              </a:extLst>
            </xdr:cNvPr>
            <xdr:cNvSpPr txBox="1"/>
          </xdr:nvSpPr>
          <xdr:spPr>
            <a:xfrm>
              <a:off x="7107767" y="21662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314959</xdr:colOff>
      <xdr:row>126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9C88365-EB56-4D7C-B515-AD4606275A52}"/>
                </a:ext>
              </a:extLst>
            </xdr:cNvPr>
            <xdr:cNvSpPr txBox="1"/>
          </xdr:nvSpPr>
          <xdr:spPr>
            <a:xfrm>
              <a:off x="7104379" y="27674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69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4E17A9B-29E7-4CE5-AFF9-9BE66AC9E180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405554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7C2A39A0-701A-440B-9C55-D13C97EFC807}"/>
                </a:ext>
              </a:extLst>
            </xdr:cNvPr>
            <xdr:cNvSpPr txBox="1"/>
          </xdr:nvSpPr>
          <xdr:spPr>
            <a:xfrm>
              <a:off x="13176674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414021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CE134124-3C52-413D-842E-A0C5D9828EF1}"/>
                </a:ext>
              </a:extLst>
            </xdr:cNvPr>
            <xdr:cNvSpPr txBox="1"/>
          </xdr:nvSpPr>
          <xdr:spPr>
            <a:xfrm>
              <a:off x="14198601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388620</xdr:colOff>
      <xdr:row>42</xdr:row>
      <xdr:rowOff>11006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56BDB78C-1932-49DD-84D7-F5DF5371F062}"/>
                </a:ext>
              </a:extLst>
            </xdr:cNvPr>
            <xdr:cNvSpPr txBox="1"/>
          </xdr:nvSpPr>
          <xdr:spPr>
            <a:xfrm>
              <a:off x="15186660" y="25934246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88051</xdr:colOff>
      <xdr:row>43</xdr:row>
      <xdr:rowOff>10161</xdr:rowOff>
    </xdr:from>
    <xdr:ext cx="4872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D592994B-5418-49AA-968B-87306673E054}"/>
                </a:ext>
              </a:extLst>
            </xdr:cNvPr>
            <xdr:cNvSpPr txBox="1"/>
          </xdr:nvSpPr>
          <xdr:spPr>
            <a:xfrm>
              <a:off x="88051" y="9283701"/>
              <a:ext cx="4872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81278</xdr:colOff>
      <xdr:row>44</xdr:row>
      <xdr:rowOff>2541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722296D-BD69-49A3-93F2-78C267139E86}"/>
                </a:ext>
              </a:extLst>
            </xdr:cNvPr>
            <xdr:cNvSpPr txBox="1"/>
          </xdr:nvSpPr>
          <xdr:spPr>
            <a:xfrm>
              <a:off x="81278" y="9504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45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7392AF6-0667-4D87-9461-0930E8CE3000}"/>
                </a:ext>
              </a:extLst>
            </xdr:cNvPr>
            <xdr:cNvSpPr txBox="1"/>
          </xdr:nvSpPr>
          <xdr:spPr>
            <a:xfrm>
              <a:off x="96518" y="97332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96518</xdr:colOff>
      <xdr:row>46</xdr:row>
      <xdr:rowOff>2541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E1AB43FA-DCA1-4AEC-B8A1-740FF7108181}"/>
                </a:ext>
              </a:extLst>
            </xdr:cNvPr>
            <xdr:cNvSpPr txBox="1"/>
          </xdr:nvSpPr>
          <xdr:spPr>
            <a:xfrm>
              <a:off x="96518" y="99618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47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3B1F71B-7DC0-4BCA-9690-6D4C389CD06A}"/>
                </a:ext>
              </a:extLst>
            </xdr:cNvPr>
            <xdr:cNvSpPr txBox="1"/>
          </xdr:nvSpPr>
          <xdr:spPr>
            <a:xfrm>
              <a:off x="79584" y="10190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79584</xdr:colOff>
      <xdr:row>48</xdr:row>
      <xdr:rowOff>2541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B982FBC-64B1-4904-9F0D-38E2C8D47AF1}"/>
                </a:ext>
              </a:extLst>
            </xdr:cNvPr>
            <xdr:cNvSpPr txBox="1"/>
          </xdr:nvSpPr>
          <xdr:spPr>
            <a:xfrm>
              <a:off x="79584" y="104190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439422</xdr:colOff>
      <xdr:row>42</xdr:row>
      <xdr:rowOff>11006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5929350-A558-4C92-B950-7534AF0F9E50}"/>
                </a:ext>
              </a:extLst>
            </xdr:cNvPr>
            <xdr:cNvSpPr txBox="1"/>
          </xdr:nvSpPr>
          <xdr:spPr>
            <a:xfrm>
              <a:off x="16250922" y="25934246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237911</xdr:colOff>
      <xdr:row>63</xdr:row>
      <xdr:rowOff>11006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35C650DC-1BDB-4297-92A4-62B0CEBFEA19}"/>
                </a:ext>
              </a:extLst>
            </xdr:cNvPr>
            <xdr:cNvSpPr txBox="1"/>
          </xdr:nvSpPr>
          <xdr:spPr>
            <a:xfrm>
              <a:off x="2622971" y="13765106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51</xdr:row>
      <xdr:rowOff>9314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AB591C1D-D3B6-48AB-8200-75CCBF58B712}"/>
                </a:ext>
              </a:extLst>
            </xdr:cNvPr>
            <xdr:cNvSpPr txBox="1"/>
          </xdr:nvSpPr>
          <xdr:spPr>
            <a:xfrm>
              <a:off x="847513" y="1102021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4D38795-082C-4524-A76D-9DD432E0B8EF}"/>
                </a:ext>
              </a:extLst>
            </xdr:cNvPr>
            <xdr:cNvSpPr txBox="1"/>
          </xdr:nvSpPr>
          <xdr:spPr>
            <a:xfrm>
              <a:off x="2703407" y="11246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DFC51C2-7738-46CB-BBCE-AF714185D9C0}"/>
                </a:ext>
              </a:extLst>
            </xdr:cNvPr>
            <xdr:cNvSpPr txBox="1"/>
          </xdr:nvSpPr>
          <xdr:spPr>
            <a:xfrm>
              <a:off x="2703407" y="11474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275597F3-5012-4971-A4F3-CEF381AFBD42}"/>
                </a:ext>
              </a:extLst>
            </xdr:cNvPr>
            <xdr:cNvSpPr txBox="1"/>
          </xdr:nvSpPr>
          <xdr:spPr>
            <a:xfrm>
              <a:off x="2695787" y="11703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6C436EED-E72F-49EE-915F-78FD85B77550}"/>
                </a:ext>
              </a:extLst>
            </xdr:cNvPr>
            <xdr:cNvSpPr txBox="1"/>
          </xdr:nvSpPr>
          <xdr:spPr>
            <a:xfrm>
              <a:off x="2695787" y="11932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515E409-1AD1-41DC-A10C-651885ADE561}"/>
                </a:ext>
              </a:extLst>
            </xdr:cNvPr>
            <xdr:cNvSpPr txBox="1"/>
          </xdr:nvSpPr>
          <xdr:spPr>
            <a:xfrm>
              <a:off x="2703407" y="12160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A96F8357-5392-472F-AADA-4B419E10945D}"/>
                </a:ext>
              </a:extLst>
            </xdr:cNvPr>
            <xdr:cNvSpPr txBox="1"/>
          </xdr:nvSpPr>
          <xdr:spPr>
            <a:xfrm>
              <a:off x="2703407" y="12389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D8CD192-3B77-4D51-80F7-F9740F14458F}"/>
                </a:ext>
              </a:extLst>
            </xdr:cNvPr>
            <xdr:cNvSpPr txBox="1"/>
          </xdr:nvSpPr>
          <xdr:spPr>
            <a:xfrm>
              <a:off x="2695787" y="1261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310727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1CBC63BF-E127-47E9-8C64-D1D873CAA8E8}"/>
                </a:ext>
              </a:extLst>
            </xdr:cNvPr>
            <xdr:cNvSpPr txBox="1"/>
          </xdr:nvSpPr>
          <xdr:spPr>
            <a:xfrm>
              <a:off x="2695787" y="128464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318347</xdr:colOff>
      <xdr:row>60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9094F0B-6AA2-413A-A40D-1DFE776F9B2E}"/>
                </a:ext>
              </a:extLst>
            </xdr:cNvPr>
            <xdr:cNvSpPr txBox="1"/>
          </xdr:nvSpPr>
          <xdr:spPr>
            <a:xfrm>
              <a:off x="2703407" y="130750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284479</xdr:colOff>
      <xdr:row>61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084D00B-C62C-4EF0-8BAD-3A86DE65839C}"/>
                </a:ext>
              </a:extLst>
            </xdr:cNvPr>
            <xdr:cNvSpPr txBox="1"/>
          </xdr:nvSpPr>
          <xdr:spPr>
            <a:xfrm>
              <a:off x="2669539" y="133036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190500</xdr:colOff>
      <xdr:row>77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FED2DF86-0E2A-47F6-9090-168753A3FD4C}"/>
                </a:ext>
              </a:extLst>
            </xdr:cNvPr>
            <xdr:cNvSpPr txBox="1"/>
          </xdr:nvSpPr>
          <xdr:spPr>
            <a:xfrm>
              <a:off x="190500" y="152247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5C93F34D-4AA5-4378-B178-0F370D58E428}"/>
                </a:ext>
              </a:extLst>
            </xdr:cNvPr>
            <xdr:cNvSpPr txBox="1"/>
          </xdr:nvSpPr>
          <xdr:spPr>
            <a:xfrm>
              <a:off x="8398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3EE0B406-33D6-4DF1-AC77-6020E11540C4}"/>
                </a:ext>
              </a:extLst>
            </xdr:cNvPr>
            <xdr:cNvSpPr txBox="1"/>
          </xdr:nvSpPr>
          <xdr:spPr>
            <a:xfrm>
              <a:off x="17161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75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30C0C615-B16E-454E-BC6B-C4928FC721A0}"/>
                </a:ext>
              </a:extLst>
            </xdr:cNvPr>
            <xdr:cNvSpPr txBox="1"/>
          </xdr:nvSpPr>
          <xdr:spPr>
            <a:xfrm>
              <a:off x="2569633" y="147701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A4133DD1-6D4D-4A69-ADCC-BC6C5682119E}"/>
                </a:ext>
              </a:extLst>
            </xdr:cNvPr>
            <xdr:cNvSpPr txBox="1"/>
          </xdr:nvSpPr>
          <xdr:spPr>
            <a:xfrm>
              <a:off x="3468793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75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E5508B3-D48C-49A5-9BD6-CA0D10214061}"/>
                </a:ext>
              </a:extLst>
            </xdr:cNvPr>
            <xdr:cNvSpPr txBox="1"/>
          </xdr:nvSpPr>
          <xdr:spPr>
            <a:xfrm>
              <a:off x="4328159" y="147701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76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B69D16C0-4DC6-429A-BA4B-96AA588192AF}"/>
                </a:ext>
              </a:extLst>
            </xdr:cNvPr>
            <xdr:cNvSpPr txBox="1"/>
          </xdr:nvSpPr>
          <xdr:spPr>
            <a:xfrm>
              <a:off x="132079" y="150105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228600</xdr:colOff>
      <xdr:row>52</xdr:row>
      <xdr:rowOff>68580</xdr:rowOff>
    </xdr:from>
    <xdr:to>
      <xdr:col>6</xdr:col>
      <xdr:colOff>708660</xdr:colOff>
      <xdr:row>55</xdr:row>
      <xdr:rowOff>160020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D35A2F5F-FD3B-44CE-8C5C-6A80FBE2421D}"/>
            </a:ext>
          </a:extLst>
        </xdr:cNvPr>
        <xdr:cNvSpPr/>
      </xdr:nvSpPr>
      <xdr:spPr>
        <a:xfrm>
          <a:off x="5242560" y="11308080"/>
          <a:ext cx="480060" cy="77724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243840</xdr:colOff>
      <xdr:row>56</xdr:row>
      <xdr:rowOff>83820</xdr:rowOff>
    </xdr:from>
    <xdr:to>
      <xdr:col>6</xdr:col>
      <xdr:colOff>708660</xdr:colOff>
      <xdr:row>61</xdr:row>
      <xdr:rowOff>144780</xdr:rowOff>
    </xdr:to>
    <xdr:sp macro="" textlink="">
      <xdr:nvSpPr>
        <xdr:cNvPr id="264" name="Right Brace 263">
          <a:extLst>
            <a:ext uri="{FF2B5EF4-FFF2-40B4-BE49-F238E27FC236}">
              <a16:creationId xmlns:a16="http://schemas.microsoft.com/office/drawing/2014/main" id="{A21D5C94-5F72-43A4-9899-67CB7D58E8D2}"/>
            </a:ext>
          </a:extLst>
        </xdr:cNvPr>
        <xdr:cNvSpPr/>
      </xdr:nvSpPr>
      <xdr:spPr>
        <a:xfrm>
          <a:off x="5257800" y="12237720"/>
          <a:ext cx="464820" cy="120396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204047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AC0D8BE-1090-416E-907B-61197987250B}"/>
                </a:ext>
              </a:extLst>
            </xdr:cNvPr>
            <xdr:cNvSpPr txBox="1"/>
          </xdr:nvSpPr>
          <xdr:spPr>
            <a:xfrm>
              <a:off x="204047" y="13181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A16F60B-94D5-4A63-BA53-5FEB0D64D085}"/>
                </a:ext>
              </a:extLst>
            </xdr:cNvPr>
            <xdr:cNvSpPr txBox="1"/>
          </xdr:nvSpPr>
          <xdr:spPr>
            <a:xfrm>
              <a:off x="204047" y="12259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AC93CC5-1485-4459-A906-6239176E7155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63A7435-E4C5-4470-85B2-036D21EAA54D}"/>
                </a:ext>
              </a:extLst>
            </xdr:cNvPr>
            <xdr:cNvSpPr txBox="1"/>
          </xdr:nvSpPr>
          <xdr:spPr>
            <a:xfrm>
              <a:off x="204047" y="1248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C87DA7F-5D11-4078-AEF8-17BC970B9BD9}"/>
                </a:ext>
              </a:extLst>
            </xdr:cNvPr>
            <xdr:cNvSpPr txBox="1"/>
          </xdr:nvSpPr>
          <xdr:spPr>
            <a:xfrm>
              <a:off x="204047" y="12716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48F75278-5327-429F-B44D-8B2A6A8E5A6A}"/>
                </a:ext>
              </a:extLst>
            </xdr:cNvPr>
            <xdr:cNvSpPr txBox="1"/>
          </xdr:nvSpPr>
          <xdr:spPr>
            <a:xfrm>
              <a:off x="204047" y="129455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FC128BE-F996-435F-B651-5660F9D0CC0D}"/>
                </a:ext>
              </a:extLst>
            </xdr:cNvPr>
            <xdr:cNvSpPr txBox="1"/>
          </xdr:nvSpPr>
          <xdr:spPr>
            <a:xfrm>
              <a:off x="188807" y="1363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AD04EF26-F199-4BA1-B392-8FFEB68CAD82}"/>
                </a:ext>
              </a:extLst>
            </xdr:cNvPr>
            <xdr:cNvSpPr txBox="1"/>
          </xdr:nvSpPr>
          <xdr:spPr>
            <a:xfrm>
              <a:off x="188807" y="13859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566B873-1D45-490A-B2FA-E4872106D16E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DF947CD8-0AFD-4108-80B4-0168AAA0A8DC}"/>
                </a:ext>
              </a:extLst>
            </xdr:cNvPr>
            <xdr:cNvSpPr txBox="1"/>
          </xdr:nvSpPr>
          <xdr:spPr>
            <a:xfrm>
              <a:off x="17017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B569D7ED-2223-47C6-86DE-E16664D74303}"/>
                </a:ext>
              </a:extLst>
            </xdr:cNvPr>
            <xdr:cNvSpPr txBox="1"/>
          </xdr:nvSpPr>
          <xdr:spPr>
            <a:xfrm>
              <a:off x="8170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9A9B360-74AF-4332-92DE-7BE0299DEDB9}"/>
                </a:ext>
              </a:extLst>
            </xdr:cNvPr>
            <xdr:cNvSpPr txBox="1"/>
          </xdr:nvSpPr>
          <xdr:spPr>
            <a:xfrm>
              <a:off x="16933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BAA9240-4D80-4894-959B-D2BDBD06B866}"/>
                </a:ext>
              </a:extLst>
            </xdr:cNvPr>
            <xdr:cNvSpPr txBox="1"/>
          </xdr:nvSpPr>
          <xdr:spPr>
            <a:xfrm>
              <a:off x="2546773" y="8742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E0DE3F9D-E6FB-4FBE-8CB7-ABA51BC56769}"/>
                </a:ext>
              </a:extLst>
            </xdr:cNvPr>
            <xdr:cNvSpPr txBox="1"/>
          </xdr:nvSpPr>
          <xdr:spPr>
            <a:xfrm>
              <a:off x="3445933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F4512AC-B5E2-4B07-B25E-88FA2014B4A9}"/>
                </a:ext>
              </a:extLst>
            </xdr:cNvPr>
            <xdr:cNvSpPr txBox="1"/>
          </xdr:nvSpPr>
          <xdr:spPr>
            <a:xfrm>
              <a:off x="4305299" y="874268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273472</xdr:colOff>
      <xdr:row>1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E1012EA-4127-44FD-BE2B-303566D089FB}"/>
                </a:ext>
              </a:extLst>
            </xdr:cNvPr>
            <xdr:cNvSpPr txBox="1"/>
          </xdr:nvSpPr>
          <xdr:spPr>
            <a:xfrm>
              <a:off x="13425592" y="2540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192AF9-C5A0-486F-AB5B-1880BA2F9545}"/>
                </a:ext>
              </a:extLst>
            </xdr:cNvPr>
            <xdr:cNvSpPr txBox="1"/>
          </xdr:nvSpPr>
          <xdr:spPr>
            <a:xfrm>
              <a:off x="1399371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230300</xdr:colOff>
      <xdr:row>2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D9BD4E-53AB-4252-B8F3-5B7F1F3D1B6B}"/>
                </a:ext>
              </a:extLst>
            </xdr:cNvPr>
            <xdr:cNvSpPr txBox="1"/>
          </xdr:nvSpPr>
          <xdr:spPr>
            <a:xfrm>
              <a:off x="13382420" y="4783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24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216B935-F031-43F0-A22D-CB5C27132B40}"/>
                </a:ext>
              </a:extLst>
            </xdr:cNvPr>
            <xdr:cNvSpPr txBox="1"/>
          </xdr:nvSpPr>
          <xdr:spPr>
            <a:xfrm>
              <a:off x="190500" y="1200912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EF4A7C4-672A-446E-9FB8-269D87E92F26}"/>
                </a:ext>
              </a:extLst>
            </xdr:cNvPr>
            <xdr:cNvSpPr txBox="1"/>
          </xdr:nvSpPr>
          <xdr:spPr>
            <a:xfrm>
              <a:off x="8398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3AEA81-B2B6-408B-9977-98E81DEB82C0}"/>
                </a:ext>
              </a:extLst>
            </xdr:cNvPr>
            <xdr:cNvSpPr txBox="1"/>
          </xdr:nvSpPr>
          <xdr:spPr>
            <a:xfrm>
              <a:off x="17161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22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5B23F9C-2A5C-4839-B48E-79C92ED32609}"/>
                </a:ext>
              </a:extLst>
            </xdr:cNvPr>
            <xdr:cNvSpPr txBox="1"/>
          </xdr:nvSpPr>
          <xdr:spPr>
            <a:xfrm>
              <a:off x="2569633" y="1155446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73ADA70-E7EB-4793-B9DF-B8830DE045B1}"/>
                </a:ext>
              </a:extLst>
            </xdr:cNvPr>
            <xdr:cNvSpPr txBox="1"/>
          </xdr:nvSpPr>
          <xdr:spPr>
            <a:xfrm>
              <a:off x="3468793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22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682210C-EDF7-4612-9146-012CD289F70F}"/>
                </a:ext>
              </a:extLst>
            </xdr:cNvPr>
            <xdr:cNvSpPr txBox="1"/>
          </xdr:nvSpPr>
          <xdr:spPr>
            <a:xfrm>
              <a:off x="4328159" y="1155446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199813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36290F2-2759-4D71-BDEE-AB8AE57BA935}"/>
                </a:ext>
              </a:extLst>
            </xdr:cNvPr>
            <xdr:cNvSpPr txBox="1"/>
          </xdr:nvSpPr>
          <xdr:spPr>
            <a:xfrm>
              <a:off x="79112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169333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C89AB0D-FCD8-4FD5-9181-EB364D8EEAC3}"/>
                </a:ext>
              </a:extLst>
            </xdr:cNvPr>
            <xdr:cNvSpPr txBox="1"/>
          </xdr:nvSpPr>
          <xdr:spPr>
            <a:xfrm>
              <a:off x="882565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192193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A91F632-A1FF-4564-B521-70D23FD0A976}"/>
                </a:ext>
              </a:extLst>
            </xdr:cNvPr>
            <xdr:cNvSpPr txBox="1"/>
          </xdr:nvSpPr>
          <xdr:spPr>
            <a:xfrm>
              <a:off x="9793393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175259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426B448-01FD-408B-916D-D66B2D3E8CBF}"/>
                </a:ext>
              </a:extLst>
            </xdr:cNvPr>
            <xdr:cNvSpPr txBox="1"/>
          </xdr:nvSpPr>
          <xdr:spPr>
            <a:xfrm>
              <a:off x="10721339" y="196088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3E298B8-3286-4F46-817E-DDB1D6EEA5E9}"/>
                </a:ext>
              </a:extLst>
            </xdr:cNvPr>
            <xdr:cNvSpPr txBox="1"/>
          </xdr:nvSpPr>
          <xdr:spPr>
            <a:xfrm>
              <a:off x="811360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E9E3C4D-F71F-4EDB-B651-6FEA9EE7266B}"/>
                </a:ext>
              </a:extLst>
            </xdr:cNvPr>
            <xdr:cNvSpPr txBox="1"/>
          </xdr:nvSpPr>
          <xdr:spPr>
            <a:xfrm>
              <a:off x="811360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2BAC155-09F3-496E-845D-3D8D55BF340D}"/>
                </a:ext>
              </a:extLst>
            </xdr:cNvPr>
            <xdr:cNvSpPr txBox="1"/>
          </xdr:nvSpPr>
          <xdr:spPr>
            <a:xfrm>
              <a:off x="811360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6FE39D-C7B0-43D7-9001-92B0D397FD09}"/>
                </a:ext>
              </a:extLst>
            </xdr:cNvPr>
            <xdr:cNvSpPr txBox="1"/>
          </xdr:nvSpPr>
          <xdr:spPr>
            <a:xfrm>
              <a:off x="811360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5BF72A7-BBF5-4F0E-BFCB-BCECEDE078D4}"/>
                </a:ext>
              </a:extLst>
            </xdr:cNvPr>
            <xdr:cNvSpPr txBox="1"/>
          </xdr:nvSpPr>
          <xdr:spPr>
            <a:xfrm>
              <a:off x="811360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417407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1AF41C3-EF06-4587-AB46-89E5F9A8DA82}"/>
                </a:ext>
              </a:extLst>
            </xdr:cNvPr>
            <xdr:cNvSpPr txBox="1"/>
          </xdr:nvSpPr>
          <xdr:spPr>
            <a:xfrm>
              <a:off x="812122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D9C10ED-4E35-4219-B31F-55995D8DB429}"/>
                </a:ext>
              </a:extLst>
            </xdr:cNvPr>
            <xdr:cNvSpPr txBox="1"/>
          </xdr:nvSpPr>
          <xdr:spPr>
            <a:xfrm>
              <a:off x="811360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15D1A94-FA90-4116-A43C-88A785ADBC3F}"/>
                </a:ext>
              </a:extLst>
            </xdr:cNvPr>
            <xdr:cNvSpPr txBox="1"/>
          </xdr:nvSpPr>
          <xdr:spPr>
            <a:xfrm>
              <a:off x="811360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CDACECF-F2F9-45F8-9883-A43453A8AA32}"/>
                </a:ext>
              </a:extLst>
            </xdr:cNvPr>
            <xdr:cNvSpPr txBox="1"/>
          </xdr:nvSpPr>
          <xdr:spPr>
            <a:xfrm>
              <a:off x="811360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375919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3714925A-5EF1-4680-9391-F00255DEA649}"/>
                </a:ext>
              </a:extLst>
            </xdr:cNvPr>
            <xdr:cNvSpPr txBox="1"/>
          </xdr:nvSpPr>
          <xdr:spPr>
            <a:xfrm>
              <a:off x="807973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409787</xdr:colOff>
      <xdr:row>33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9770234-5AFC-483A-AF54-3EA2501620B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1D1C68C-FEA0-42DB-905F-AE6A3FBE3FB3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417407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21ECD5B-C470-4E09-8ADD-6B054EA99146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000404A-7A24-4CDA-BEDC-974B6D28D78F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402167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6F830E2-0317-4EC5-A4A4-5FAF656FE898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375919</xdr:colOff>
      <xdr:row>36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7EF08AE-D56D-44D1-A851-88E6D2D4CAD7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30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71B2B7F-ADBF-486A-9040-F4D15E86E4F0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163527</xdr:colOff>
      <xdr:row>31</xdr:row>
      <xdr:rowOff>159680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77189284-2E09-4C96-8A92-FEA8600F665A}"/>
                </a:ext>
              </a:extLst>
            </xdr:cNvPr>
            <xdr:cNvSpPr txBox="1"/>
          </xdr:nvSpPr>
          <xdr:spPr>
            <a:xfrm rot="2061372">
              <a:off x="5154627" y="6423320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𝑩𝟏(𝒂_𝟎)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6</xdr:col>
      <xdr:colOff>163527</xdr:colOff>
      <xdr:row>34</xdr:row>
      <xdr:rowOff>174921</xdr:rowOff>
    </xdr:from>
    <xdr:ext cx="53514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78E3E8A7-9D19-415F-BCE7-D4A6E7235499}"/>
                </a:ext>
              </a:extLst>
            </xdr:cNvPr>
            <xdr:cNvSpPr txBox="1"/>
          </xdr:nvSpPr>
          <xdr:spPr>
            <a:xfrm rot="2281157">
              <a:off x="5154627" y="7124361"/>
              <a:ext cx="53514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𝑩𝟐(𝒂_𝟎)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236220</xdr:colOff>
      <xdr:row>17</xdr:row>
      <xdr:rowOff>129540</xdr:rowOff>
    </xdr:from>
    <xdr:ext cx="48859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C109F66-2861-40CE-BD71-809B82D1F47A}"/>
                </a:ext>
              </a:extLst>
            </xdr:cNvPr>
            <xdr:cNvSpPr txBox="1"/>
          </xdr:nvSpPr>
          <xdr:spPr>
            <a:xfrm>
              <a:off x="236220" y="3832860"/>
              <a:ext cx="48859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𝒋=𝟎,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525780</xdr:colOff>
      <xdr:row>17</xdr:row>
      <xdr:rowOff>129540</xdr:rowOff>
    </xdr:from>
    <xdr:ext cx="244041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A2C8A7-CE37-4DBD-8D77-46955695A122}"/>
                </a:ext>
              </a:extLst>
            </xdr:cNvPr>
            <xdr:cNvSpPr txBox="1"/>
          </xdr:nvSpPr>
          <xdr:spPr>
            <a:xfrm>
              <a:off x="1135380" y="3832860"/>
              <a:ext cx="244041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𝑩𝟏(𝒂_𝟎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  │ 𝒂_𝟎=𝒂_𝒊𝟎 }</a:t>
              </a:r>
              <a:r>
                <a:rPr lang="en-US" sz="1400" b="1" i="0">
                  <a:latin typeface="Cambria Math" panose="02040503050406030204" pitchFamily="18" charset="0"/>
                </a:rPr>
                <a:t>,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739140</xdr:colOff>
      <xdr:row>17</xdr:row>
      <xdr:rowOff>121920</xdr:rowOff>
    </xdr:from>
    <xdr:ext cx="24036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82B5C76-927C-488F-B54D-DC2C22E59151}"/>
                </a:ext>
              </a:extLst>
            </xdr:cNvPr>
            <xdr:cNvSpPr txBox="1"/>
          </xdr:nvSpPr>
          <xdr:spPr>
            <a:xfrm>
              <a:off x="3977640" y="3825240"/>
              <a:ext cx="24036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𝑩𝟐(𝒂_𝟎 )={𝑺_𝒊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∈𝑲_𝟐  │ 𝒂_𝟎=𝒂_𝒊𝟎 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132079</xdr:colOff>
      <xdr:row>23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5998A1E-C870-4455-A238-67ED4E42649A}"/>
                </a:ext>
              </a:extLst>
            </xdr:cNvPr>
            <xdr:cNvSpPr txBox="1"/>
          </xdr:nvSpPr>
          <xdr:spPr>
            <a:xfrm>
              <a:off x="132079" y="1033187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99060</xdr:colOff>
      <xdr:row>31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7B3B4AB-1B13-4CDF-9D10-57A33F63DFA3}"/>
                </a:ext>
              </a:extLst>
            </xdr:cNvPr>
            <xdr:cNvSpPr txBox="1"/>
          </xdr:nvSpPr>
          <xdr:spPr>
            <a:xfrm>
              <a:off x="4213860" y="64008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15240</xdr:colOff>
      <xdr:row>34</xdr:row>
      <xdr:rowOff>144780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272E5F7-AF3A-4C7D-9C43-15983B040A8A}"/>
                </a:ext>
              </a:extLst>
            </xdr:cNvPr>
            <xdr:cNvSpPr txBox="1"/>
          </xdr:nvSpPr>
          <xdr:spPr>
            <a:xfrm>
              <a:off x="7719060" y="71399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44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9A10E07-ECD7-4710-8F43-63394176E327}"/>
                </a:ext>
              </a:extLst>
            </xdr:cNvPr>
            <xdr:cNvSpPr txBox="1"/>
          </xdr:nvSpPr>
          <xdr:spPr>
            <a:xfrm>
              <a:off x="76200" y="9677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845820</xdr:colOff>
      <xdr:row>44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𝟎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0CDA781-6085-4135-B227-B4855AEE11DF}"/>
                </a:ext>
              </a:extLst>
            </xdr:cNvPr>
            <xdr:cNvSpPr txBox="1"/>
          </xdr:nvSpPr>
          <xdr:spPr>
            <a:xfrm>
              <a:off x="1455420" y="9677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𝒂_𝟎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22860</xdr:colOff>
      <xdr:row>44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FFC3AB9-4802-4FA2-ACFB-5086E62EB649}"/>
                </a:ext>
              </a:extLst>
            </xdr:cNvPr>
            <xdr:cNvSpPr txBox="1"/>
          </xdr:nvSpPr>
          <xdr:spPr>
            <a:xfrm>
              <a:off x="4686300" y="967740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)={𝑺_𝒊∈𝑩𝟐(𝒂_𝟎) │ 𝒂_𝟏=𝒂_𝒊𝟏,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𝒅_𝒊𝟏&lt;𝟎"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7620</xdr:colOff>
      <xdr:row>44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F64482F-B39D-442A-8241-1A91A5C56AB7}"/>
                </a:ext>
              </a:extLst>
            </xdr:cNvPr>
            <xdr:cNvSpPr txBox="1"/>
          </xdr:nvSpPr>
          <xdr:spPr>
            <a:xfrm>
              <a:off x="617220" y="9677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</xdr:colOff>
      <xdr:row>61</xdr:row>
      <xdr:rowOff>121920</xdr:rowOff>
    </xdr:from>
    <xdr:ext cx="2025042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95D2617-399A-44E8-ACCA-C7154FC8D598}"/>
                </a:ext>
              </a:extLst>
            </xdr:cNvPr>
            <xdr:cNvSpPr txBox="1"/>
          </xdr:nvSpPr>
          <xdr:spPr>
            <a:xfrm>
              <a:off x="7620" y="13426440"/>
              <a:ext cx="2025042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𝑩𝟐(𝒂_𝟎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9320</xdr:colOff>
      <xdr:row>3</xdr:row>
      <xdr:rowOff>13549</xdr:rowOff>
    </xdr:from>
    <xdr:ext cx="98616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𝑺𝑬𝑻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BA3A93-FACB-412E-BBFE-3D0E22BBFAEC}"/>
                </a:ext>
              </a:extLst>
            </xdr:cNvPr>
            <xdr:cNvSpPr txBox="1"/>
          </xdr:nvSpPr>
          <xdr:spPr>
            <a:xfrm>
              <a:off x="13161440" y="699349"/>
              <a:ext cx="98616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𝒑=|𝑺𝑬𝑻|−𝟏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16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BE54AA-5CEC-44DD-91EA-472EE22DBC2D}"/>
                </a:ext>
              </a:extLst>
            </xdr:cNvPr>
            <xdr:cNvSpPr txBox="1"/>
          </xdr:nvSpPr>
          <xdr:spPr>
            <a:xfrm>
              <a:off x="794936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51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026DF1-2A13-4E88-8B43-99D8C0A16937}"/>
                </a:ext>
              </a:extLst>
            </xdr:cNvPr>
            <xdr:cNvSpPr txBox="1"/>
          </xdr:nvSpPr>
          <xdr:spPr>
            <a:xfrm>
              <a:off x="190500" y="521970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C6C2C32-7F59-43F6-863E-413DD2813D2A}"/>
                </a:ext>
              </a:extLst>
            </xdr:cNvPr>
            <xdr:cNvSpPr txBox="1"/>
          </xdr:nvSpPr>
          <xdr:spPr>
            <a:xfrm>
              <a:off x="8170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C56763E-68B2-4E37-A0D8-C4E0E7C40074}"/>
                </a:ext>
              </a:extLst>
            </xdr:cNvPr>
            <xdr:cNvSpPr txBox="1"/>
          </xdr:nvSpPr>
          <xdr:spPr>
            <a:xfrm>
              <a:off x="16933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49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1A838C0-3689-4BA4-97D3-6A177DF52D82}"/>
                </a:ext>
              </a:extLst>
            </xdr:cNvPr>
            <xdr:cNvSpPr txBox="1"/>
          </xdr:nvSpPr>
          <xdr:spPr>
            <a:xfrm>
              <a:off x="2546773" y="476504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484245E-04ED-4765-8D7C-BF49B138382C}"/>
                </a:ext>
              </a:extLst>
            </xdr:cNvPr>
            <xdr:cNvSpPr txBox="1"/>
          </xdr:nvSpPr>
          <xdr:spPr>
            <a:xfrm>
              <a:off x="3445933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49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563120EF-8E6B-4478-ADC2-06AD823870AA}"/>
                </a:ext>
              </a:extLst>
            </xdr:cNvPr>
            <xdr:cNvSpPr txBox="1"/>
          </xdr:nvSpPr>
          <xdr:spPr>
            <a:xfrm>
              <a:off x="4305299" y="476504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50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0BED53D-BF35-4B3F-BD65-67466FB63228}"/>
                </a:ext>
              </a:extLst>
            </xdr:cNvPr>
            <xdr:cNvSpPr txBox="1"/>
          </xdr:nvSpPr>
          <xdr:spPr>
            <a:xfrm>
              <a:off x="132079" y="500549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901CAAB-CC07-4B6D-B864-08B408EB64DD}"/>
                </a:ext>
              </a:extLst>
            </xdr:cNvPr>
            <xdr:cNvSpPr txBox="1"/>
          </xdr:nvSpPr>
          <xdr:spPr>
            <a:xfrm>
              <a:off x="2040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29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1BD1CC5-860C-4E43-9BBC-CE80E1F75164}"/>
                </a:ext>
              </a:extLst>
            </xdr:cNvPr>
            <xdr:cNvSpPr txBox="1"/>
          </xdr:nvSpPr>
          <xdr:spPr>
            <a:xfrm>
              <a:off x="204047" y="6278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D66A1D20-A3D1-48A2-9797-506E81FB1006}"/>
                </a:ext>
              </a:extLst>
            </xdr:cNvPr>
            <xdr:cNvSpPr txBox="1"/>
          </xdr:nvSpPr>
          <xdr:spPr>
            <a:xfrm>
              <a:off x="19642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97A5ADF-5A2F-42D4-857D-9C42F0AACE9E}"/>
                </a:ext>
              </a:extLst>
            </xdr:cNvPr>
            <xdr:cNvSpPr txBox="1"/>
          </xdr:nvSpPr>
          <xdr:spPr>
            <a:xfrm>
              <a:off x="20404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4C394EA9-E34A-4035-ABB2-FFC592F4AF7C}"/>
                </a:ext>
              </a:extLst>
            </xdr:cNvPr>
            <xdr:cNvSpPr txBox="1"/>
          </xdr:nvSpPr>
          <xdr:spPr>
            <a:xfrm>
              <a:off x="204047" y="921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F262942-2416-4BAE-A6D8-79737107F69E}"/>
                </a:ext>
              </a:extLst>
            </xdr:cNvPr>
            <xdr:cNvSpPr txBox="1"/>
          </xdr:nvSpPr>
          <xdr:spPr>
            <a:xfrm>
              <a:off x="204047" y="1149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7E94D21-6BF4-4727-BC3E-9A1D748BECB5}"/>
                </a:ext>
              </a:extLst>
            </xdr:cNvPr>
            <xdr:cNvSpPr txBox="1"/>
          </xdr:nvSpPr>
          <xdr:spPr>
            <a:xfrm>
              <a:off x="196427" y="764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76001D-9041-456F-8156-612A27BFD3A0}"/>
                </a:ext>
              </a:extLst>
            </xdr:cNvPr>
            <xdr:cNvSpPr txBox="1"/>
          </xdr:nvSpPr>
          <xdr:spPr>
            <a:xfrm>
              <a:off x="188807" y="787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37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85784B1-DD2B-48D0-9B59-54BBDE72C7A0}"/>
                </a:ext>
              </a:extLst>
            </xdr:cNvPr>
            <xdr:cNvSpPr txBox="1"/>
          </xdr:nvSpPr>
          <xdr:spPr>
            <a:xfrm>
              <a:off x="19642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162559</xdr:colOff>
      <xdr:row>38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9AA098C2-3159-44A4-97BE-6A808DC390FE}"/>
                </a:ext>
              </a:extLst>
            </xdr:cNvPr>
            <xdr:cNvSpPr txBox="1"/>
          </xdr:nvSpPr>
          <xdr:spPr>
            <a:xfrm>
              <a:off x="162559" y="83278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28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29CEBAA-18A3-48BB-9B40-47373790EBAD}"/>
                </a:ext>
              </a:extLst>
            </xdr:cNvPr>
            <xdr:cNvSpPr txBox="1"/>
          </xdr:nvSpPr>
          <xdr:spPr>
            <a:xfrm>
              <a:off x="817033" y="2387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A56A110-61E3-4A05-BA04-2C1ACD0D1066}"/>
                </a:ext>
              </a:extLst>
            </xdr:cNvPr>
            <xdr:cNvSpPr txBox="1"/>
          </xdr:nvSpPr>
          <xdr:spPr>
            <a:xfrm>
              <a:off x="3854027" y="13097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A270FF5B-A266-4F8B-B3F2-768C90129561}"/>
                </a:ext>
              </a:extLst>
            </xdr:cNvPr>
            <xdr:cNvSpPr txBox="1"/>
          </xdr:nvSpPr>
          <xdr:spPr>
            <a:xfrm>
              <a:off x="3854027" y="12175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3C503B-2D0D-40A6-B3E8-BC9E34296181}"/>
                </a:ext>
              </a:extLst>
            </xdr:cNvPr>
            <xdr:cNvSpPr txBox="1"/>
          </xdr:nvSpPr>
          <xdr:spPr>
            <a:xfrm>
              <a:off x="3846407" y="13318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92453DAA-1EAD-413E-AA80-E87E2B49EDA4}"/>
                </a:ext>
              </a:extLst>
            </xdr:cNvPr>
            <xdr:cNvSpPr txBox="1"/>
          </xdr:nvSpPr>
          <xdr:spPr>
            <a:xfrm>
              <a:off x="3854027" y="12396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E61C56F-8BCF-49D1-90BB-FF2CF06B095B}"/>
                </a:ext>
              </a:extLst>
            </xdr:cNvPr>
            <xdr:cNvSpPr txBox="1"/>
          </xdr:nvSpPr>
          <xdr:spPr>
            <a:xfrm>
              <a:off x="3854027" y="1262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72DE36A8-F55C-448A-AB6D-A1F9465BA477}"/>
                </a:ext>
              </a:extLst>
            </xdr:cNvPr>
            <xdr:cNvSpPr txBox="1"/>
          </xdr:nvSpPr>
          <xdr:spPr>
            <a:xfrm>
              <a:off x="3854027" y="1285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AD625CC-E62E-412C-B708-FD10A4374851}"/>
                </a:ext>
              </a:extLst>
            </xdr:cNvPr>
            <xdr:cNvSpPr txBox="1"/>
          </xdr:nvSpPr>
          <xdr:spPr>
            <a:xfrm>
              <a:off x="3846407" y="13547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63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8A86065-1D96-408E-AECA-888BA0CD4444}"/>
                </a:ext>
              </a:extLst>
            </xdr:cNvPr>
            <xdr:cNvSpPr txBox="1"/>
          </xdr:nvSpPr>
          <xdr:spPr>
            <a:xfrm>
              <a:off x="3838787" y="13776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64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02156B2-F52C-42FC-BAAA-5704337BB424}"/>
                </a:ext>
              </a:extLst>
            </xdr:cNvPr>
            <xdr:cNvSpPr txBox="1"/>
          </xdr:nvSpPr>
          <xdr:spPr>
            <a:xfrm>
              <a:off x="384640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65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5D2BABA-998B-4CC8-A126-0BC2DEDE7542}"/>
                </a:ext>
              </a:extLst>
            </xdr:cNvPr>
            <xdr:cNvSpPr txBox="1"/>
          </xdr:nvSpPr>
          <xdr:spPr>
            <a:xfrm>
              <a:off x="3820159" y="142256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55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115298-292E-4338-94C5-E9EFB5EF6FDC}"/>
                </a:ext>
              </a:extLst>
            </xdr:cNvPr>
            <xdr:cNvSpPr txBox="1"/>
          </xdr:nvSpPr>
          <xdr:spPr>
            <a:xfrm>
              <a:off x="817033" y="1189736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57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72ECD47-65AC-4244-95B3-2BADC9366254}"/>
                </a:ext>
              </a:extLst>
            </xdr:cNvPr>
            <xdr:cNvSpPr txBox="1"/>
          </xdr:nvSpPr>
          <xdr:spPr>
            <a:xfrm>
              <a:off x="129540" y="125196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𝑩𝟏(𝒂_𝟎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60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FE7630C2-A7E2-4371-BAD1-79C3C9CD9320}"/>
                </a:ext>
              </a:extLst>
            </xdr:cNvPr>
            <xdr:cNvSpPr txBox="1"/>
          </xdr:nvSpPr>
          <xdr:spPr>
            <a:xfrm>
              <a:off x="3046307" y="6788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FE166E45-9194-405D-B695-7182C0D4F2F5}"/>
                </a:ext>
              </a:extLst>
            </xdr:cNvPr>
            <xdr:cNvSpPr txBox="1"/>
          </xdr:nvSpPr>
          <xdr:spPr>
            <a:xfrm>
              <a:off x="3053927" y="6316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59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D881F385-47EF-44D7-899E-628254CF7932}"/>
                </a:ext>
              </a:extLst>
            </xdr:cNvPr>
            <xdr:cNvSpPr txBox="1"/>
          </xdr:nvSpPr>
          <xdr:spPr>
            <a:xfrm>
              <a:off x="3053927" y="654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77EF8B9-F3A0-42CE-BFFC-340C4EEFDFDD}"/>
                </a:ext>
              </a:extLst>
            </xdr:cNvPr>
            <xdr:cNvSpPr txBox="1"/>
          </xdr:nvSpPr>
          <xdr:spPr>
            <a:xfrm>
              <a:off x="3038687" y="7009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62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4F29340C-2E49-43D9-9940-5A835E32E613}"/>
                </a:ext>
              </a:extLst>
            </xdr:cNvPr>
            <xdr:cNvSpPr txBox="1"/>
          </xdr:nvSpPr>
          <xdr:spPr>
            <a:xfrm>
              <a:off x="3038687" y="7238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63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E52E13-DF55-4E44-8636-880A53E1AC13}"/>
                </a:ext>
              </a:extLst>
            </xdr:cNvPr>
            <xdr:cNvSpPr txBox="1"/>
          </xdr:nvSpPr>
          <xdr:spPr>
            <a:xfrm>
              <a:off x="3012439" y="7466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57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A53B6D77-AC77-4386-A79A-FBF5EBE92184}"/>
                </a:ext>
              </a:extLst>
            </xdr:cNvPr>
            <xdr:cNvSpPr txBox="1"/>
          </xdr:nvSpPr>
          <xdr:spPr>
            <a:xfrm>
              <a:off x="6897793" y="12446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115993</xdr:colOff>
      <xdr:row>59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EF11545F-1F32-409D-9505-BA655A3E33F6}"/>
                </a:ext>
              </a:extLst>
            </xdr:cNvPr>
            <xdr:cNvSpPr txBox="1"/>
          </xdr:nvSpPr>
          <xdr:spPr>
            <a:xfrm>
              <a:off x="7819813" y="13025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144780</xdr:colOff>
      <xdr:row>58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2E17A6-E9DA-45DD-98A3-614AF7888BB4}"/>
                </a:ext>
              </a:extLst>
            </xdr:cNvPr>
            <xdr:cNvSpPr txBox="1"/>
          </xdr:nvSpPr>
          <xdr:spPr>
            <a:xfrm>
              <a:off x="10888980" y="12778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144780</xdr:colOff>
      <xdr:row>61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41926008-A26C-4CC0-AB0C-674AA3C06668}"/>
                </a:ext>
              </a:extLst>
            </xdr:cNvPr>
            <xdr:cNvSpPr txBox="1"/>
          </xdr:nvSpPr>
          <xdr:spPr>
            <a:xfrm>
              <a:off x="10888980" y="134569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𝒅_𝒊𝟏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58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53B5C5-C031-4F60-B9C2-0AA307AA9B12}"/>
                </a:ext>
              </a:extLst>
            </xdr:cNvPr>
            <xdr:cNvSpPr txBox="1"/>
          </xdr:nvSpPr>
          <xdr:spPr>
            <a:xfrm>
              <a:off x="7802880" y="690372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998220</xdr:colOff>
      <xdr:row>61</xdr:row>
      <xdr:rowOff>144780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D5ACCA18-0FB2-4A81-A4D8-CC9A64802A05}"/>
                </a:ext>
              </a:extLst>
            </xdr:cNvPr>
            <xdr:cNvSpPr txBox="1"/>
          </xdr:nvSpPr>
          <xdr:spPr>
            <a:xfrm>
              <a:off x="15796260" y="1349502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72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BEB1362-6294-48B0-B87B-88472360CC2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73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CE694584-2BDC-4898-AF1C-C20D60E10F52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72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98D835-5ED6-4814-84EE-27A0F45A57C4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84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7AAAE42C-273C-4428-9873-22CE8FC4B673}"/>
                </a:ext>
              </a:extLst>
            </xdr:cNvPr>
            <xdr:cNvSpPr txBox="1"/>
          </xdr:nvSpPr>
          <xdr:spPr>
            <a:xfrm>
              <a:off x="76200" y="1822704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𝒋=𝟐,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929640</xdr:colOff>
      <xdr:row>84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F9FDFB6-C710-49AE-9809-4F207BF1E0E0}"/>
                </a:ext>
              </a:extLst>
            </xdr:cNvPr>
            <xdr:cNvSpPr txBox="1"/>
          </xdr:nvSpPr>
          <xdr:spPr>
            <a:xfrm>
              <a:off x="1539240" y="1822704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𝒂_𝟏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7620</xdr:colOff>
      <xdr:row>84</xdr:row>
      <xdr:rowOff>121920</xdr:rowOff>
    </xdr:from>
    <xdr:ext cx="301717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4DBA875-F84F-4975-BFF9-C6739C1157EA}"/>
                </a:ext>
              </a:extLst>
            </xdr:cNvPr>
            <xdr:cNvSpPr txBox="1"/>
          </xdr:nvSpPr>
          <xdr:spPr>
            <a:xfrm>
              <a:off x="4671060" y="18227040"/>
              <a:ext cx="301717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)={𝑺_𝒊∈𝑩𝟐(𝒂_𝟏) │ 𝒂_𝟐=𝒂_𝒊𝟐,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𝒅_𝒊𝟐&lt;𝟎"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30480</xdr:colOff>
      <xdr:row>84</xdr:row>
      <xdr:rowOff>121920</xdr:rowOff>
    </xdr:from>
    <xdr:ext cx="66204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681B6415-A5F0-4B02-85F0-68081EBB22AF}"/>
                </a:ext>
              </a:extLst>
            </xdr:cNvPr>
            <xdr:cNvSpPr txBox="1"/>
          </xdr:nvSpPr>
          <xdr:spPr>
            <a:xfrm>
              <a:off x="640080" y="18227040"/>
              <a:ext cx="6620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</xdr:col>
      <xdr:colOff>1005840</xdr:colOff>
      <xdr:row>101</xdr:row>
      <xdr:rowOff>121920</xdr:rowOff>
    </xdr:from>
    <xdr:ext cx="2067040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DBE8666-0C4B-4E73-A1DC-5426226AE706}"/>
                </a:ext>
              </a:extLst>
            </xdr:cNvPr>
            <xdr:cNvSpPr txBox="1"/>
          </xdr:nvSpPr>
          <xdr:spPr>
            <a:xfrm>
              <a:off x="2628900" y="22128480"/>
              <a:ext cx="2067040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𝑩𝟐(𝒂_𝟏 )={𝑺_𝟏,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91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29D79D8-826A-4814-8BC2-F8E1B832313B}"/>
                </a:ext>
              </a:extLst>
            </xdr:cNvPr>
            <xdr:cNvSpPr txBox="1"/>
          </xdr:nvSpPr>
          <xdr:spPr>
            <a:xfrm>
              <a:off x="190500" y="11071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76BB3C33-2FE0-47F7-8867-BD4400A04510}"/>
                </a:ext>
              </a:extLst>
            </xdr:cNvPr>
            <xdr:cNvSpPr txBox="1"/>
          </xdr:nvSpPr>
          <xdr:spPr>
            <a:xfrm>
              <a:off x="81703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6C3BD68-0B29-46E9-9FB1-1867FCC1434E}"/>
                </a:ext>
              </a:extLst>
            </xdr:cNvPr>
            <xdr:cNvSpPr txBox="1"/>
          </xdr:nvSpPr>
          <xdr:spPr>
            <a:xfrm>
              <a:off x="183049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89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FAF8EAD0-038B-4244-9B48-70917129AE9B}"/>
                </a:ext>
              </a:extLst>
            </xdr:cNvPr>
            <xdr:cNvSpPr txBox="1"/>
          </xdr:nvSpPr>
          <xdr:spPr>
            <a:xfrm>
              <a:off x="2821093" y="10617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06682F1-D3CF-4964-96C8-82BAAD441EC1}"/>
                </a:ext>
              </a:extLst>
            </xdr:cNvPr>
            <xdr:cNvSpPr txBox="1"/>
          </xdr:nvSpPr>
          <xdr:spPr>
            <a:xfrm>
              <a:off x="3857413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89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8BD05E18-41A4-4F09-8D6B-E491C44D895F}"/>
                </a:ext>
              </a:extLst>
            </xdr:cNvPr>
            <xdr:cNvSpPr txBox="1"/>
          </xdr:nvSpPr>
          <xdr:spPr>
            <a:xfrm>
              <a:off x="4853939" y="10617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90</xdr:row>
      <xdr:rowOff>22012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27B4325-9432-4AAA-BBE5-DA1D12DEBAE8}"/>
                </a:ext>
              </a:extLst>
            </xdr:cNvPr>
            <xdr:cNvSpPr txBox="1"/>
          </xdr:nvSpPr>
          <xdr:spPr>
            <a:xfrm>
              <a:off x="132079" y="1085765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FD17D4D-0365-46F8-8E8B-2E12DE3A3977}"/>
                </a:ext>
              </a:extLst>
            </xdr:cNvPr>
            <xdr:cNvSpPr txBox="1"/>
          </xdr:nvSpPr>
          <xdr:spPr>
            <a:xfrm>
              <a:off x="20404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FF788145-036F-4124-96CB-238BDA3DF01C}"/>
                </a:ext>
              </a:extLst>
            </xdr:cNvPr>
            <xdr:cNvSpPr txBox="1"/>
          </xdr:nvSpPr>
          <xdr:spPr>
            <a:xfrm>
              <a:off x="204047" y="1222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A4343F2-3BDF-45AE-AD6A-DBB4DB614022}"/>
                </a:ext>
              </a:extLst>
            </xdr:cNvPr>
            <xdr:cNvSpPr txBox="1"/>
          </xdr:nvSpPr>
          <xdr:spPr>
            <a:xfrm>
              <a:off x="19642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0A5D0F7-FE46-4953-B6CB-003874EE7DA5}"/>
                </a:ext>
              </a:extLst>
            </xdr:cNvPr>
            <xdr:cNvSpPr txBox="1"/>
          </xdr:nvSpPr>
          <xdr:spPr>
            <a:xfrm>
              <a:off x="204047" y="12442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8098A3A-A82D-4A8E-B3A5-99CE108959F8}"/>
                </a:ext>
              </a:extLst>
            </xdr:cNvPr>
            <xdr:cNvSpPr txBox="1"/>
          </xdr:nvSpPr>
          <xdr:spPr>
            <a:xfrm>
              <a:off x="20404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7627327C-0E39-424D-9D76-B242FEC06593}"/>
                </a:ext>
              </a:extLst>
            </xdr:cNvPr>
            <xdr:cNvSpPr txBox="1"/>
          </xdr:nvSpPr>
          <xdr:spPr>
            <a:xfrm>
              <a:off x="20404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7F539CCC-01A4-4FAF-A9DB-9282CA7F4CA2}"/>
                </a:ext>
              </a:extLst>
            </xdr:cNvPr>
            <xdr:cNvSpPr txBox="1"/>
          </xdr:nvSpPr>
          <xdr:spPr>
            <a:xfrm>
              <a:off x="19642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103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E830843-A823-4801-BA21-A51EF9D1EDC3}"/>
                </a:ext>
              </a:extLst>
            </xdr:cNvPr>
            <xdr:cNvSpPr txBox="1"/>
          </xdr:nvSpPr>
          <xdr:spPr>
            <a:xfrm>
              <a:off x="188807" y="1382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104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16AB6581-856A-4021-9D8C-CCFBEE3948C7}"/>
                </a:ext>
              </a:extLst>
            </xdr:cNvPr>
            <xdr:cNvSpPr txBox="1"/>
          </xdr:nvSpPr>
          <xdr:spPr>
            <a:xfrm>
              <a:off x="196427" y="14050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105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F0D8C97-717E-4400-A281-3D01479F1DD5}"/>
                </a:ext>
              </a:extLst>
            </xdr:cNvPr>
            <xdr:cNvSpPr txBox="1"/>
          </xdr:nvSpPr>
          <xdr:spPr>
            <a:xfrm>
              <a:off x="170179" y="14271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95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416173-07E5-4142-A050-B578D9F803AC}"/>
                </a:ext>
              </a:extLst>
            </xdr:cNvPr>
            <xdr:cNvSpPr txBox="1"/>
          </xdr:nvSpPr>
          <xdr:spPr>
            <a:xfrm>
              <a:off x="817033" y="197916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97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1DADB8C-1ADE-4B3C-86C8-9187BDAE1F39}"/>
                </a:ext>
              </a:extLst>
            </xdr:cNvPr>
            <xdr:cNvSpPr txBox="1"/>
          </xdr:nvSpPr>
          <xdr:spPr>
            <a:xfrm>
              <a:off x="2766060" y="1256538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𝑩𝟏(𝒂_𝟏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100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7EE2257-AD29-4C1E-A40B-C4E430F48E48}"/>
                </a:ext>
              </a:extLst>
            </xdr:cNvPr>
            <xdr:cNvSpPr txBox="1"/>
          </xdr:nvSpPr>
          <xdr:spPr>
            <a:xfrm>
              <a:off x="6086687" y="13143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409787</xdr:colOff>
      <xdr:row>97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28564357-C0A6-4340-90E8-C4D4022F036D}"/>
                </a:ext>
              </a:extLst>
            </xdr:cNvPr>
            <xdr:cNvSpPr txBox="1"/>
          </xdr:nvSpPr>
          <xdr:spPr>
            <a:xfrm>
              <a:off x="6086687" y="20253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417407</xdr:colOff>
      <xdr:row>99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A19B8800-FB24-4301-A8EB-82E6D3DC2E99}"/>
                </a:ext>
              </a:extLst>
            </xdr:cNvPr>
            <xdr:cNvSpPr txBox="1"/>
          </xdr:nvSpPr>
          <xdr:spPr>
            <a:xfrm>
              <a:off x="6094307" y="12899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FD49A29-D6C3-49C2-B7D4-1228A17C68C6}"/>
                </a:ext>
              </a:extLst>
            </xdr:cNvPr>
            <xdr:cNvSpPr txBox="1"/>
          </xdr:nvSpPr>
          <xdr:spPr>
            <a:xfrm>
              <a:off x="6079067" y="13364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102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3F4DFC71-96CE-465B-92A4-E17A41B9A066}"/>
                </a:ext>
              </a:extLst>
            </xdr:cNvPr>
            <xdr:cNvSpPr txBox="1"/>
          </xdr:nvSpPr>
          <xdr:spPr>
            <a:xfrm>
              <a:off x="6079067" y="13593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375919</xdr:colOff>
      <xdr:row>103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94C9459A-378C-4891-A774-EB60FAFA28A1}"/>
                </a:ext>
              </a:extLst>
            </xdr:cNvPr>
            <xdr:cNvSpPr txBox="1"/>
          </xdr:nvSpPr>
          <xdr:spPr>
            <a:xfrm>
              <a:off x="6052819" y="138218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207433</xdr:colOff>
      <xdr:row>97</xdr:row>
      <xdr:rowOff>10161</xdr:rowOff>
    </xdr:from>
    <xdr:ext cx="5844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42DA4CD6-E641-4DDB-98A9-CEB883121D70}"/>
                </a:ext>
              </a:extLst>
            </xdr:cNvPr>
            <xdr:cNvSpPr txBox="1"/>
          </xdr:nvSpPr>
          <xdr:spPr>
            <a:xfrm>
              <a:off x="6897793" y="20248881"/>
              <a:ext cx="5844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85513</xdr:colOff>
      <xdr:row>99</xdr:row>
      <xdr:rowOff>132081</xdr:rowOff>
    </xdr:from>
    <xdr:ext cx="8353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96772FF-7EE6-4B5D-AA36-01E607F5E8F0}"/>
                </a:ext>
              </a:extLst>
            </xdr:cNvPr>
            <xdr:cNvSpPr txBox="1"/>
          </xdr:nvSpPr>
          <xdr:spPr>
            <a:xfrm>
              <a:off x="7789333" y="20828001"/>
              <a:ext cx="8353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 )</a:t>
              </a:r>
              <a:r>
                <a:rPr lang="en-US" sz="1200" b="1" i="0">
                  <a:latin typeface="Cambria Math" panose="02040503050406030204" pitchFamily="18" charset="0"/>
                </a:rPr>
                <a:t>=𝟕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98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D038ADAB-6BB6-4554-86E1-6AFA8A4445EB}"/>
                </a:ext>
              </a:extLst>
            </xdr:cNvPr>
            <xdr:cNvSpPr txBox="1"/>
          </xdr:nvSpPr>
          <xdr:spPr>
            <a:xfrm>
              <a:off x="10927080" y="2143506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101</xdr:row>
      <xdr:rowOff>106680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18B32FD-E57E-4598-B87C-D751824805C7}"/>
                </a:ext>
              </a:extLst>
            </xdr:cNvPr>
            <xdr:cNvSpPr txBox="1"/>
          </xdr:nvSpPr>
          <xdr:spPr>
            <a:xfrm>
              <a:off x="10927080" y="22113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𝒅_𝒊𝟐&lt;𝟎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98</xdr:row>
      <xdr:rowOff>137160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FE057CC0-6C0A-472B-BE94-E1D0819D421E}"/>
                </a:ext>
              </a:extLst>
            </xdr:cNvPr>
            <xdr:cNvSpPr txBox="1"/>
          </xdr:nvSpPr>
          <xdr:spPr>
            <a:xfrm>
              <a:off x="15910560" y="1280160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101</xdr:row>
      <xdr:rowOff>144780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AF6AD7C-48FE-474C-8FD5-E15922A5A301}"/>
                </a:ext>
              </a:extLst>
            </xdr:cNvPr>
            <xdr:cNvSpPr txBox="1"/>
          </xdr:nvSpPr>
          <xdr:spPr>
            <a:xfrm>
              <a:off x="15918180" y="2215134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98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AE65AE19-994F-4B2C-A65B-F504D9C5AFBB}"/>
                </a:ext>
              </a:extLst>
            </xdr:cNvPr>
            <xdr:cNvSpPr txBox="1"/>
          </xdr:nvSpPr>
          <xdr:spPr>
            <a:xfrm>
              <a:off x="6086687" y="204740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95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6B1EF38-BBE1-4EB2-87FC-B98FA154E25A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89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82F080-E006-4B97-A4BC-D3AB2FBF73CD}"/>
                </a:ext>
              </a:extLst>
            </xdr:cNvPr>
            <xdr:cNvSpPr txBox="1"/>
          </xdr:nvSpPr>
          <xdr:spPr>
            <a:xfrm>
              <a:off x="228600" y="184251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219287</xdr:colOff>
      <xdr:row>55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019D549-695A-4A01-9F7C-3129F6D5BB42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432647</xdr:colOff>
      <xdr:row>57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11C9771-3127-47EC-92D9-A646441B610D}"/>
                </a:ext>
              </a:extLst>
            </xdr:cNvPr>
            <xdr:cNvSpPr txBox="1"/>
          </xdr:nvSpPr>
          <xdr:spPr>
            <a:xfrm>
              <a:off x="6109547" y="12450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28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C896D57-B7F6-49C9-983A-880723BC4D78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425027</xdr:colOff>
      <xdr:row>30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0B26AB8D-DEA3-4056-906C-5DF99825D402}"/>
                </a:ext>
              </a:extLst>
            </xdr:cNvPr>
            <xdr:cNvSpPr txBox="1"/>
          </xdr:nvSpPr>
          <xdr:spPr>
            <a:xfrm>
              <a:off x="3061547" y="655235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D510B16F-C62F-468E-BC3D-098EA0C0BD25}"/>
                </a:ext>
              </a:extLst>
            </xdr:cNvPr>
            <xdr:cNvSpPr txBox="1"/>
          </xdr:nvSpPr>
          <xdr:spPr>
            <a:xfrm>
              <a:off x="219287" y="197959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409787</xdr:colOff>
      <xdr:row>1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EB6FC4C-7534-47C0-B25C-7F231614517D}"/>
                </a:ext>
              </a:extLst>
            </xdr:cNvPr>
            <xdr:cNvSpPr txBox="1"/>
          </xdr:nvSpPr>
          <xdr:spPr>
            <a:xfrm>
              <a:off x="8113607" y="24299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49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A7E5B67-1267-477E-B33A-7363AC4AE9DB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228600</xdr:colOff>
      <xdr:row>22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DD97B58-F7F4-406C-B676-5D2874E7E364}"/>
                </a:ext>
              </a:extLst>
            </xdr:cNvPr>
            <xdr:cNvSpPr txBox="1"/>
          </xdr:nvSpPr>
          <xdr:spPr>
            <a:xfrm>
              <a:off x="228600" y="1927860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854284</xdr:colOff>
      <xdr:row>112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BB4D8275-D12D-4CA3-AB0D-7E5DB3001D32}"/>
                </a:ext>
              </a:extLst>
            </xdr:cNvPr>
            <xdr:cNvSpPr txBox="1"/>
          </xdr:nvSpPr>
          <xdr:spPr>
            <a:xfrm>
              <a:off x="1463884" y="15807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113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8C4FCDD9-893D-431F-A511-C7A2C43F7991}"/>
                </a:ext>
              </a:extLst>
            </xdr:cNvPr>
            <xdr:cNvSpPr txBox="1"/>
          </xdr:nvSpPr>
          <xdr:spPr>
            <a:xfrm>
              <a:off x="3979340" y="15916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112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CE70C67-FA9D-4CA3-86DB-A256061BE895}"/>
                </a:ext>
              </a:extLst>
            </xdr:cNvPr>
            <xdr:cNvSpPr txBox="1"/>
          </xdr:nvSpPr>
          <xdr:spPr>
            <a:xfrm>
              <a:off x="4002200" y="15687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124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558CEB0D-2C87-4449-A2D7-E59E0C377294}"/>
                </a:ext>
              </a:extLst>
            </xdr:cNvPr>
            <xdr:cNvSpPr txBox="1"/>
          </xdr:nvSpPr>
          <xdr:spPr>
            <a:xfrm>
              <a:off x="76200" y="2682240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𝒋=𝟑,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922020</xdr:colOff>
      <xdr:row>124</xdr:row>
      <xdr:rowOff>121920</xdr:rowOff>
    </xdr:from>
    <xdr:ext cx="301480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68148662-FA61-4C27-AC65-9AF95454CAA4}"/>
                </a:ext>
              </a:extLst>
            </xdr:cNvPr>
            <xdr:cNvSpPr txBox="1"/>
          </xdr:nvSpPr>
          <xdr:spPr>
            <a:xfrm>
              <a:off x="1531620" y="26822400"/>
              <a:ext cx="301480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𝒂_𝟐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15240</xdr:colOff>
      <xdr:row>124</xdr:row>
      <xdr:rowOff>121920</xdr:rowOff>
    </xdr:from>
    <xdr:ext cx="30171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514FC44-C375-4C7A-B85B-AA09EEC5ACF5}"/>
                </a:ext>
              </a:extLst>
            </xdr:cNvPr>
            <xdr:cNvSpPr txBox="1"/>
          </xdr:nvSpPr>
          <xdr:spPr>
            <a:xfrm>
              <a:off x="4678680" y="26822400"/>
              <a:ext cx="30171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)={𝑺_𝒊∈𝑩𝟐(𝒂_𝟐) │ 𝒂_𝟑=𝒂_𝒊𝟑,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𝒅_𝒊𝟑&lt;𝟎"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124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9F98991E-3B47-4039-89E6-C127C47719A6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141</xdr:row>
      <xdr:rowOff>121920</xdr:rowOff>
    </xdr:from>
    <xdr:ext cx="1812547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6E081B3-2C1D-4DA9-99E5-957AAD714FA7}"/>
                </a:ext>
              </a:extLst>
            </xdr:cNvPr>
            <xdr:cNvSpPr txBox="1"/>
          </xdr:nvSpPr>
          <xdr:spPr>
            <a:xfrm>
              <a:off x="2712720" y="30617160"/>
              <a:ext cx="1812547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𝑩𝟐(𝒂_𝟐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𝑺_𝟖, 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131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6A7A008-4F72-4F33-BB1B-7A4EEBA663A8}"/>
                </a:ext>
              </a:extLst>
            </xdr:cNvPr>
            <xdr:cNvSpPr txBox="1"/>
          </xdr:nvSpPr>
          <xdr:spPr>
            <a:xfrm>
              <a:off x="190500" y="1971294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2680096-8626-4E5F-A17B-EDE9C342E5DD}"/>
                </a:ext>
              </a:extLst>
            </xdr:cNvPr>
            <xdr:cNvSpPr txBox="1"/>
          </xdr:nvSpPr>
          <xdr:spPr>
            <a:xfrm>
              <a:off x="81703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08F8D600-5F1B-488A-AEA0-6B3830BB9F17}"/>
                </a:ext>
              </a:extLst>
            </xdr:cNvPr>
            <xdr:cNvSpPr txBox="1"/>
          </xdr:nvSpPr>
          <xdr:spPr>
            <a:xfrm>
              <a:off x="183049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129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4F0BA85-2AF7-4394-8719-E65781C65784}"/>
                </a:ext>
              </a:extLst>
            </xdr:cNvPr>
            <xdr:cNvSpPr txBox="1"/>
          </xdr:nvSpPr>
          <xdr:spPr>
            <a:xfrm>
              <a:off x="2821093" y="1925828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9EE669B8-3615-4D1A-96B7-3A1BDE115337}"/>
                </a:ext>
              </a:extLst>
            </xdr:cNvPr>
            <xdr:cNvSpPr txBox="1"/>
          </xdr:nvSpPr>
          <xdr:spPr>
            <a:xfrm>
              <a:off x="3857413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129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CDE56B0-0B57-4CC4-84FE-0A2993D0655F}"/>
                </a:ext>
              </a:extLst>
            </xdr:cNvPr>
            <xdr:cNvSpPr txBox="1"/>
          </xdr:nvSpPr>
          <xdr:spPr>
            <a:xfrm>
              <a:off x="4853939" y="1925828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130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525C93C-E713-41B6-BFC1-BB0B9BA7FDC2}"/>
                </a:ext>
              </a:extLst>
            </xdr:cNvPr>
            <xdr:cNvSpPr txBox="1"/>
          </xdr:nvSpPr>
          <xdr:spPr>
            <a:xfrm>
              <a:off x="132079" y="324146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140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FE844CE-ED81-4750-AEF2-F84C7740103E}"/>
                </a:ext>
              </a:extLst>
            </xdr:cNvPr>
            <xdr:cNvSpPr txBox="1"/>
          </xdr:nvSpPr>
          <xdr:spPr>
            <a:xfrm>
              <a:off x="204047" y="21784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9DDAF13-A32D-4642-8718-53AC30C170F6}"/>
                </a:ext>
              </a:extLst>
            </xdr:cNvPr>
            <xdr:cNvSpPr txBox="1"/>
          </xdr:nvSpPr>
          <xdr:spPr>
            <a:xfrm>
              <a:off x="204047" y="2086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5CF142A1-A79A-42B0-82DA-7473F6A216E1}"/>
                </a:ext>
              </a:extLst>
            </xdr:cNvPr>
            <xdr:cNvSpPr txBox="1"/>
          </xdr:nvSpPr>
          <xdr:spPr>
            <a:xfrm>
              <a:off x="196427" y="22005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C1790C43-A25D-4956-930C-3E1A2F1941BA}"/>
                </a:ext>
              </a:extLst>
            </xdr:cNvPr>
            <xdr:cNvSpPr txBox="1"/>
          </xdr:nvSpPr>
          <xdr:spPr>
            <a:xfrm>
              <a:off x="204047" y="21083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D666510-B074-4249-8AD5-316CB949DF04}"/>
                </a:ext>
              </a:extLst>
            </xdr:cNvPr>
            <xdr:cNvSpPr txBox="1"/>
          </xdr:nvSpPr>
          <xdr:spPr>
            <a:xfrm>
              <a:off x="204047" y="21312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C4170A32-76B1-4B7D-8949-6FBBBE8A630F}"/>
                </a:ext>
              </a:extLst>
            </xdr:cNvPr>
            <xdr:cNvSpPr txBox="1"/>
          </xdr:nvSpPr>
          <xdr:spPr>
            <a:xfrm>
              <a:off x="204047" y="215408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023471C-4D32-42A3-A526-AABB24BE32CD}"/>
                </a:ext>
              </a:extLst>
            </xdr:cNvPr>
            <xdr:cNvSpPr txBox="1"/>
          </xdr:nvSpPr>
          <xdr:spPr>
            <a:xfrm>
              <a:off x="196427" y="22234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143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B4E8F85-52DF-4512-94BA-27887F17EF9F}"/>
                </a:ext>
              </a:extLst>
            </xdr:cNvPr>
            <xdr:cNvSpPr txBox="1"/>
          </xdr:nvSpPr>
          <xdr:spPr>
            <a:xfrm>
              <a:off x="188807" y="22462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144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CFAD9FE-D68C-4248-A3CF-812BF785DBA0}"/>
                </a:ext>
              </a:extLst>
            </xdr:cNvPr>
            <xdr:cNvSpPr txBox="1"/>
          </xdr:nvSpPr>
          <xdr:spPr>
            <a:xfrm>
              <a:off x="196427" y="22691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145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58C8EC-C745-4205-B78C-2FAA3EFC87F0}"/>
                </a:ext>
              </a:extLst>
            </xdr:cNvPr>
            <xdr:cNvSpPr txBox="1"/>
          </xdr:nvSpPr>
          <xdr:spPr>
            <a:xfrm>
              <a:off x="170179" y="229124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135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67F2540-01A5-4274-9427-163B4F14F5CB}"/>
                </a:ext>
              </a:extLst>
            </xdr:cNvPr>
            <xdr:cNvSpPr txBox="1"/>
          </xdr:nvSpPr>
          <xdr:spPr>
            <a:xfrm>
              <a:off x="817033" y="291338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137</xdr:row>
      <xdr:rowOff>129540</xdr:rowOff>
    </xdr:from>
    <xdr:ext cx="1479636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6B04FE9-BAB0-48FE-A859-D8220CC0D8D3}"/>
                </a:ext>
              </a:extLst>
            </xdr:cNvPr>
            <xdr:cNvSpPr txBox="1"/>
          </xdr:nvSpPr>
          <xdr:spPr>
            <a:xfrm>
              <a:off x="2766060" y="21206460"/>
              <a:ext cx="1479636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𝑩𝟏(𝒂_𝟐 )={𝑺_𝟒,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𝑺_𝟔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137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E838F162-8B39-4A8A-BB0C-92BC87CEDF94}"/>
                </a:ext>
              </a:extLst>
            </xdr:cNvPr>
            <xdr:cNvSpPr txBox="1"/>
          </xdr:nvSpPr>
          <xdr:spPr>
            <a:xfrm>
              <a:off x="6086687" y="210913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8A73E82A-7269-4B3E-B11B-5B0510C6C9B9}"/>
                </a:ext>
              </a:extLst>
            </xdr:cNvPr>
            <xdr:cNvSpPr txBox="1"/>
          </xdr:nvSpPr>
          <xdr:spPr>
            <a:xfrm>
              <a:off x="607906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6C93AEC4-C6D2-4FF0-A449-9111D627CEA4}"/>
                </a:ext>
              </a:extLst>
            </xdr:cNvPr>
            <xdr:cNvSpPr txBox="1"/>
          </xdr:nvSpPr>
          <xdr:spPr>
            <a:xfrm>
              <a:off x="6063827" y="30281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141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318D4EFB-F783-4B8A-9A4B-AC8234ECAC0B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142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BA69FD33-3691-4AF1-A697-A26C137CB767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137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AE4B188-5108-4F45-8872-B20FEF901F94}"/>
                </a:ext>
              </a:extLst>
            </xdr:cNvPr>
            <xdr:cNvSpPr txBox="1"/>
          </xdr:nvSpPr>
          <xdr:spPr>
            <a:xfrm>
              <a:off x="6913033" y="2959100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139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0A02E55-E82B-45C7-AE70-9B288B69FC4A}"/>
                </a:ext>
              </a:extLst>
            </xdr:cNvPr>
            <xdr:cNvSpPr txBox="1"/>
          </xdr:nvSpPr>
          <xdr:spPr>
            <a:xfrm>
              <a:off x="7812193" y="3017012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 )</a:t>
              </a:r>
              <a:r>
                <a:rPr lang="en-US" sz="1200" b="1" i="0">
                  <a:latin typeface="Cambria Math" panose="02040503050406030204" pitchFamily="18" charset="0"/>
                </a:rPr>
                <a:t>=𝟐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138</xdr:row>
      <xdr:rowOff>114300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BA086B50-DB56-42C4-B355-D6E14C615BB7}"/>
                </a:ext>
              </a:extLst>
            </xdr:cNvPr>
            <xdr:cNvSpPr txBox="1"/>
          </xdr:nvSpPr>
          <xdr:spPr>
            <a:xfrm>
              <a:off x="10927080" y="299237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141</xdr:row>
      <xdr:rowOff>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D8D98050-862E-4A78-8AAB-2A43F8F290A8}"/>
                </a:ext>
              </a:extLst>
            </xdr:cNvPr>
            <xdr:cNvSpPr txBox="1"/>
          </xdr:nvSpPr>
          <xdr:spPr>
            <a:xfrm>
              <a:off x="10927080" y="3049524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𝒅_𝒊𝟑&lt;𝟎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138</xdr:row>
      <xdr:rowOff>137160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B8478593-1EB5-4517-90C1-11D11F181029}"/>
                </a:ext>
              </a:extLst>
            </xdr:cNvPr>
            <xdr:cNvSpPr txBox="1"/>
          </xdr:nvSpPr>
          <xdr:spPr>
            <a:xfrm>
              <a:off x="15910560" y="2994660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141</xdr:row>
      <xdr:rowOff>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BAA5F07-5F3F-4E31-81A5-E3E41F45132E}"/>
                </a:ext>
              </a:extLst>
            </xdr:cNvPr>
            <xdr:cNvSpPr txBox="1"/>
          </xdr:nvSpPr>
          <xdr:spPr>
            <a:xfrm>
              <a:off x="15918180" y="3049524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394547</xdr:colOff>
      <xdr:row>138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1F7ECCDD-B0DB-47B3-8D9D-7D1C6F43103F}"/>
                </a:ext>
              </a:extLst>
            </xdr:cNvPr>
            <xdr:cNvSpPr txBox="1"/>
          </xdr:nvSpPr>
          <xdr:spPr>
            <a:xfrm>
              <a:off x="60714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219287</xdr:colOff>
      <xdr:row>135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4741B5C3-0D26-48FE-83D3-9335E1A4371E}"/>
                </a:ext>
              </a:extLst>
            </xdr:cNvPr>
            <xdr:cNvSpPr txBox="1"/>
          </xdr:nvSpPr>
          <xdr:spPr>
            <a:xfrm>
              <a:off x="219287" y="2063411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D541FDA4-BF98-4C02-A979-606E97C81F8F}"/>
                </a:ext>
              </a:extLst>
            </xdr:cNvPr>
            <xdr:cNvSpPr txBox="1"/>
          </xdr:nvSpPr>
          <xdr:spPr>
            <a:xfrm>
              <a:off x="228600" y="1926336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57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8C1A6D68-98F1-408A-8D90-601B53459314}"/>
                </a:ext>
              </a:extLst>
            </xdr:cNvPr>
            <xdr:cNvSpPr txBox="1"/>
          </xdr:nvSpPr>
          <xdr:spPr>
            <a:xfrm>
              <a:off x="11987953" y="12446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97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7F6A680-C55C-460D-B169-9FF466F06DE2}"/>
                </a:ext>
              </a:extLst>
            </xdr:cNvPr>
            <xdr:cNvSpPr txBox="1"/>
          </xdr:nvSpPr>
          <xdr:spPr>
            <a:xfrm>
              <a:off x="11987953" y="210870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137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DB465380-188F-49B4-AB01-1094595B3381}"/>
                </a:ext>
              </a:extLst>
            </xdr:cNvPr>
            <xdr:cNvSpPr txBox="1"/>
          </xdr:nvSpPr>
          <xdr:spPr>
            <a:xfrm>
              <a:off x="11987953" y="2959100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854284</xdr:colOff>
      <xdr:row>152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878BFB6-6D4D-4F4A-A964-DBC4F316A8C3}"/>
                </a:ext>
              </a:extLst>
            </xdr:cNvPr>
            <xdr:cNvSpPr txBox="1"/>
          </xdr:nvSpPr>
          <xdr:spPr>
            <a:xfrm>
              <a:off x="1463884" y="2444834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153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362962F5-C0F1-4C16-8340-856F73E8C412}"/>
                </a:ext>
              </a:extLst>
            </xdr:cNvPr>
            <xdr:cNvSpPr txBox="1"/>
          </xdr:nvSpPr>
          <xdr:spPr>
            <a:xfrm>
              <a:off x="3979340" y="2455756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152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B369EAB5-FA59-45F1-99A7-72763C554901}"/>
                </a:ext>
              </a:extLst>
            </xdr:cNvPr>
            <xdr:cNvSpPr txBox="1"/>
          </xdr:nvSpPr>
          <xdr:spPr>
            <a:xfrm>
              <a:off x="4002200" y="2432896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18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1747872-B994-4DE9-83AD-3FBE2EE6428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43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B8A177B-0B66-479B-B2F3-4B827F360ED4}"/>
                </a:ext>
              </a:extLst>
            </xdr:cNvPr>
            <xdr:cNvSpPr txBox="1"/>
          </xdr:nvSpPr>
          <xdr:spPr>
            <a:xfrm>
              <a:off x="9046640" y="37016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45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64B88FAB-6DB1-460B-91F8-E658680E8BD2}"/>
                </a:ext>
              </a:extLst>
            </xdr:cNvPr>
            <xdr:cNvSpPr txBox="1"/>
          </xdr:nvSpPr>
          <xdr:spPr>
            <a:xfrm>
              <a:off x="9069500" y="39378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83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0EE4FFC2-1C4C-4D1B-81AC-567883FB0934}"/>
                </a:ext>
              </a:extLst>
            </xdr:cNvPr>
            <xdr:cNvSpPr txBox="1"/>
          </xdr:nvSpPr>
          <xdr:spPr>
            <a:xfrm>
              <a:off x="9046640" y="9553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85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2B9BFE64-4465-4E2E-AD1D-97651B8E93D8}"/>
                </a:ext>
              </a:extLst>
            </xdr:cNvPr>
            <xdr:cNvSpPr txBox="1"/>
          </xdr:nvSpPr>
          <xdr:spPr>
            <a:xfrm>
              <a:off x="9069500" y="9790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329360</xdr:colOff>
      <xdr:row>123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2E4A19A-4222-4799-9D75-42A2B9E79406}"/>
                </a:ext>
              </a:extLst>
            </xdr:cNvPr>
            <xdr:cNvSpPr txBox="1"/>
          </xdr:nvSpPr>
          <xdr:spPr>
            <a:xfrm>
              <a:off x="9046640" y="1810342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125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6DF24282-571B-44C2-B001-15FFDD11E4B1}"/>
                </a:ext>
              </a:extLst>
            </xdr:cNvPr>
            <xdr:cNvSpPr txBox="1"/>
          </xdr:nvSpPr>
          <xdr:spPr>
            <a:xfrm>
              <a:off x="9069500" y="1833964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76200</xdr:colOff>
      <xdr:row>164</xdr:row>
      <xdr:rowOff>121920</xdr:rowOff>
    </xdr:from>
    <xdr:ext cx="41883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10E372E8-467C-44B9-9565-D80F4945EF50}"/>
                </a:ext>
              </a:extLst>
            </xdr:cNvPr>
            <xdr:cNvSpPr txBox="1"/>
          </xdr:nvSpPr>
          <xdr:spPr>
            <a:xfrm>
              <a:off x="76200" y="35326320"/>
              <a:ext cx="41883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𝒋=𝟒,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891540</xdr:colOff>
      <xdr:row>164</xdr:row>
      <xdr:rowOff>121920</xdr:rowOff>
    </xdr:from>
    <xdr:ext cx="305083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d>
                          <m:d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𝟑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&gt;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A385502-7C2E-4C12-AC1A-4DEB134E1A30}"/>
                </a:ext>
              </a:extLst>
            </xdr:cNvPr>
            <xdr:cNvSpPr txBox="1"/>
          </xdr:nvSpPr>
          <xdr:spPr>
            <a:xfrm>
              <a:off x="1501140" y="35326320"/>
              <a:ext cx="305083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)={𝑺_𝒊∈𝑩𝟏(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𝒂_𝟑 )  │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𝒅_𝒊𝟒&gt;𝟎}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998220</xdr:colOff>
      <xdr:row>164</xdr:row>
      <xdr:rowOff>121920</xdr:rowOff>
    </xdr:from>
    <xdr:ext cx="3053208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 </m:t>
                        </m:r>
                      </m:e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 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𝒅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&lt;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  <m:r>
                          <m:rPr>
                            <m:nor/>
                          </m:rPr>
                          <a:rPr lang="en-US" sz="120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7BFC9D57-4A6F-463E-88E6-042C5DFB9E1B}"/>
                </a:ext>
              </a:extLst>
            </xdr:cNvPr>
            <xdr:cNvSpPr txBox="1"/>
          </xdr:nvSpPr>
          <xdr:spPr>
            <a:xfrm>
              <a:off x="4648200" y="35326320"/>
              <a:ext cx="3053208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)={𝑺_𝒊∈𝑩𝟐(𝒂_𝟑) │ 𝒂_𝟒=𝒂_𝒊𝟒,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𝒅_𝒊𝟒&lt;𝟎"</a:t>
              </a:r>
              <a:r>
                <a:rPr lang="en-US" sz="12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 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15240</xdr:colOff>
      <xdr:row>164</xdr:row>
      <xdr:rowOff>121920</xdr:rowOff>
    </xdr:from>
    <xdr:ext cx="6620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067BE04A-E9A1-4028-8D7E-A4E992F419E2}"/>
                </a:ext>
              </a:extLst>
            </xdr:cNvPr>
            <xdr:cNvSpPr txBox="1"/>
          </xdr:nvSpPr>
          <xdr:spPr>
            <a:xfrm>
              <a:off x="624840" y="26822400"/>
              <a:ext cx="6620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𝒋=𝒋+𝟏,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76200</xdr:colOff>
      <xdr:row>181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0545BEE-88EF-4A51-B38E-62B47CA6818F}"/>
                </a:ext>
              </a:extLst>
            </xdr:cNvPr>
            <xdr:cNvSpPr txBox="1"/>
          </xdr:nvSpPr>
          <xdr:spPr>
            <a:xfrm>
              <a:off x="2712720" y="388620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190500</xdr:colOff>
      <xdr:row>171</xdr:row>
      <xdr:rowOff>7620</xdr:rowOff>
    </xdr:from>
    <xdr:ext cx="206530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2A32371F-02AE-44FA-8D6B-DE337A3C4484}"/>
                </a:ext>
              </a:extLst>
            </xdr:cNvPr>
            <xdr:cNvSpPr txBox="1"/>
          </xdr:nvSpPr>
          <xdr:spPr>
            <a:xfrm>
              <a:off x="190500" y="28216860"/>
              <a:ext cx="206530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B35F39D6-6938-48C8-AEED-E3336C38881E}"/>
                </a:ext>
              </a:extLst>
            </xdr:cNvPr>
            <xdr:cNvSpPr txBox="1"/>
          </xdr:nvSpPr>
          <xdr:spPr>
            <a:xfrm>
              <a:off x="81703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A4E970D-1AEC-4595-AA70-0E9535237FE4}"/>
                </a:ext>
              </a:extLst>
            </xdr:cNvPr>
            <xdr:cNvSpPr txBox="1"/>
          </xdr:nvSpPr>
          <xdr:spPr>
            <a:xfrm>
              <a:off x="183049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169</xdr:row>
      <xdr:rowOff>10161</xdr:rowOff>
    </xdr:from>
    <xdr:ext cx="54277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95BEAF68-B0F1-4C6B-848E-F2C29CF627A8}"/>
                </a:ext>
              </a:extLst>
            </xdr:cNvPr>
            <xdr:cNvSpPr txBox="1"/>
          </xdr:nvSpPr>
          <xdr:spPr>
            <a:xfrm>
              <a:off x="2821093" y="27762201"/>
              <a:ext cx="54277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062DCFD2-A6B2-4B65-90BC-4F24D78640D1}"/>
                </a:ext>
              </a:extLst>
            </xdr:cNvPr>
            <xdr:cNvSpPr txBox="1"/>
          </xdr:nvSpPr>
          <xdr:spPr>
            <a:xfrm>
              <a:off x="3857413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169</xdr:row>
      <xdr:rowOff>10161</xdr:rowOff>
    </xdr:from>
    <xdr:ext cx="4811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1E035EE3-6C06-44CA-ADF6-A30E1A00AF30}"/>
                </a:ext>
              </a:extLst>
            </xdr:cNvPr>
            <xdr:cNvSpPr txBox="1"/>
          </xdr:nvSpPr>
          <xdr:spPr>
            <a:xfrm>
              <a:off x="4853939" y="27762201"/>
              <a:ext cx="4811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132079</xdr:colOff>
      <xdr:row>170</xdr:row>
      <xdr:rowOff>14392</xdr:rowOff>
    </xdr:from>
    <xdr:ext cx="35144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𝒏𝒆𝒘</m:t>
                        </m:r>
                      </m:sup>
                    </m:sSubSup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9E40EA9-6620-4F5F-8EFA-5F4F6EC76FE6}"/>
                </a:ext>
              </a:extLst>
            </xdr:cNvPr>
            <xdr:cNvSpPr txBox="1"/>
          </xdr:nvSpPr>
          <xdr:spPr>
            <a:xfrm>
              <a:off x="132079" y="27995032"/>
              <a:ext cx="35144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𝑺_𝟏𝟏^𝒏𝒆𝒘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180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2C7FA821-249E-4376-84AC-BEE21ACA2523}"/>
                </a:ext>
              </a:extLst>
            </xdr:cNvPr>
            <xdr:cNvSpPr txBox="1"/>
          </xdr:nvSpPr>
          <xdr:spPr>
            <a:xfrm>
              <a:off x="204047" y="302886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A6A809F4-A2C5-45A3-8A50-EA4353CECCB8}"/>
                </a:ext>
              </a:extLst>
            </xdr:cNvPr>
            <xdr:cNvSpPr txBox="1"/>
          </xdr:nvSpPr>
          <xdr:spPr>
            <a:xfrm>
              <a:off x="204047" y="29366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F3654DAF-317E-4B8A-AE89-D1F9827C89E3}"/>
                </a:ext>
              </a:extLst>
            </xdr:cNvPr>
            <xdr:cNvSpPr txBox="1"/>
          </xdr:nvSpPr>
          <xdr:spPr>
            <a:xfrm>
              <a:off x="1964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AC4BD7C0-AF0B-4273-AC24-8A8F6B8C4C7B}"/>
                </a:ext>
              </a:extLst>
            </xdr:cNvPr>
            <xdr:cNvSpPr txBox="1"/>
          </xdr:nvSpPr>
          <xdr:spPr>
            <a:xfrm>
              <a:off x="204047" y="29587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3CDCCDA2-4368-4F0C-AD68-653F1BEC4570}"/>
                </a:ext>
              </a:extLst>
            </xdr:cNvPr>
            <xdr:cNvSpPr txBox="1"/>
          </xdr:nvSpPr>
          <xdr:spPr>
            <a:xfrm>
              <a:off x="204047" y="29816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204047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CBF5AF7F-B5B9-4B54-A760-7558D2667C52}"/>
                </a:ext>
              </a:extLst>
            </xdr:cNvPr>
            <xdr:cNvSpPr txBox="1"/>
          </xdr:nvSpPr>
          <xdr:spPr>
            <a:xfrm>
              <a:off x="204047" y="30044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29C9F8AB-B520-46E9-9F7C-DC62F16B22FB}"/>
                </a:ext>
              </a:extLst>
            </xdr:cNvPr>
            <xdr:cNvSpPr txBox="1"/>
          </xdr:nvSpPr>
          <xdr:spPr>
            <a:xfrm>
              <a:off x="196427" y="30738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188807</xdr:colOff>
      <xdr:row>183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73C5B3BE-6AFC-4B54-85DD-F0EB81DCDDB9}"/>
                </a:ext>
              </a:extLst>
            </xdr:cNvPr>
            <xdr:cNvSpPr txBox="1"/>
          </xdr:nvSpPr>
          <xdr:spPr>
            <a:xfrm>
              <a:off x="188807" y="30966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196427</xdr:colOff>
      <xdr:row>184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DAC13BF8-ABB4-4FE1-9242-D5A5C43E3C61}"/>
                </a:ext>
              </a:extLst>
            </xdr:cNvPr>
            <xdr:cNvSpPr txBox="1"/>
          </xdr:nvSpPr>
          <xdr:spPr>
            <a:xfrm>
              <a:off x="196427" y="3119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170179</xdr:colOff>
      <xdr:row>185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E70ABA8-41EA-4081-8BA7-507288923EED}"/>
                </a:ext>
              </a:extLst>
            </xdr:cNvPr>
            <xdr:cNvSpPr txBox="1"/>
          </xdr:nvSpPr>
          <xdr:spPr>
            <a:xfrm>
              <a:off x="170179" y="314164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207433</xdr:colOff>
      <xdr:row>175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3032D70D-8E1B-414A-8FFD-8DC0AB860620}"/>
                </a:ext>
              </a:extLst>
            </xdr:cNvPr>
            <xdr:cNvSpPr txBox="1"/>
          </xdr:nvSpPr>
          <xdr:spPr>
            <a:xfrm>
              <a:off x="817033" y="373786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129540</xdr:colOff>
      <xdr:row>177</xdr:row>
      <xdr:rowOff>129540</xdr:rowOff>
    </xdr:from>
    <xdr:ext cx="1225143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𝟑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81EE2526-A242-44DD-9E82-298A4EA46883}"/>
                </a:ext>
              </a:extLst>
            </xdr:cNvPr>
            <xdr:cNvSpPr txBox="1"/>
          </xdr:nvSpPr>
          <xdr:spPr>
            <a:xfrm>
              <a:off x="2766060" y="37955220"/>
              <a:ext cx="1225143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𝑩𝟏(𝒂_𝟑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409787</xdr:colOff>
      <xdr:row>178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C54C03E2-6049-43CA-80A6-0A826CD2F955}"/>
                </a:ext>
              </a:extLst>
            </xdr:cNvPr>
            <xdr:cNvSpPr txBox="1"/>
          </xdr:nvSpPr>
          <xdr:spPr>
            <a:xfrm>
              <a:off x="6086687" y="295952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402167</xdr:colOff>
      <xdr:row>179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8FAC5AA-3498-4E2F-8FBF-1A07A76013F8}"/>
                </a:ext>
              </a:extLst>
            </xdr:cNvPr>
            <xdr:cNvSpPr txBox="1"/>
          </xdr:nvSpPr>
          <xdr:spPr>
            <a:xfrm>
              <a:off x="6079067" y="385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386927</xdr:colOff>
      <xdr:row>180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B1C5494C-DD67-431B-ADDA-DD5FA8834738}"/>
                </a:ext>
              </a:extLst>
            </xdr:cNvPr>
            <xdr:cNvSpPr txBox="1"/>
          </xdr:nvSpPr>
          <xdr:spPr>
            <a:xfrm>
              <a:off x="6063827" y="30509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368299</xdr:colOff>
      <xdr:row>181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3697FEF8-434D-481D-B9D7-B1766F1318E6}"/>
                </a:ext>
              </a:extLst>
            </xdr:cNvPr>
            <xdr:cNvSpPr txBox="1"/>
          </xdr:nvSpPr>
          <xdr:spPr>
            <a:xfrm>
              <a:off x="6045199" y="307382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222673</xdr:colOff>
      <xdr:row>178</xdr:row>
      <xdr:rowOff>10161</xdr:rowOff>
    </xdr:from>
    <xdr:ext cx="5228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F6A1089-9187-41E0-B976-36F0CD404288}"/>
                </a:ext>
              </a:extLst>
            </xdr:cNvPr>
            <xdr:cNvSpPr txBox="1"/>
          </xdr:nvSpPr>
          <xdr:spPr>
            <a:xfrm>
              <a:off x="6913033" y="37835841"/>
              <a:ext cx="5228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𝒂_𝒊𝟒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108373</xdr:colOff>
      <xdr:row>179</xdr:row>
      <xdr:rowOff>132081</xdr:rowOff>
    </xdr:from>
    <xdr:ext cx="7737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𝟗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BCE3857-6B58-41C1-855A-0458E7E53119}"/>
                </a:ext>
              </a:extLst>
            </xdr:cNvPr>
            <xdr:cNvSpPr txBox="1"/>
          </xdr:nvSpPr>
          <xdr:spPr>
            <a:xfrm>
              <a:off x="7812193" y="38414961"/>
              <a:ext cx="7737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 )</a:t>
              </a:r>
              <a:r>
                <a:rPr lang="en-US" sz="1200" b="1" i="0">
                  <a:latin typeface="Cambria Math" panose="02040503050406030204" pitchFamily="18" charset="0"/>
                </a:rPr>
                <a:t>=𝟎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182880</xdr:colOff>
      <xdr:row>178</xdr:row>
      <xdr:rowOff>213360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C4FCDBB4-131A-4B87-8585-2C0AA7EC0D00}"/>
                </a:ext>
              </a:extLst>
            </xdr:cNvPr>
            <xdr:cNvSpPr txBox="1"/>
          </xdr:nvSpPr>
          <xdr:spPr>
            <a:xfrm>
              <a:off x="10927080" y="3852672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𝒅_𝒊𝟒&gt;𝟎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11</xdr:col>
      <xdr:colOff>182880</xdr:colOff>
      <xdr:row>180</xdr:row>
      <xdr:rowOff>121920</xdr:rowOff>
    </xdr:from>
    <xdr:ext cx="6322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&lt;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F0205B45-BB61-4E6D-872A-BB65ED1D7929}"/>
                </a:ext>
              </a:extLst>
            </xdr:cNvPr>
            <xdr:cNvSpPr txBox="1"/>
          </xdr:nvSpPr>
          <xdr:spPr>
            <a:xfrm>
              <a:off x="10927080" y="38892480"/>
              <a:ext cx="6322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𝒅_𝒊𝟒&lt;𝟎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16</xdr:col>
      <xdr:colOff>99060</xdr:colOff>
      <xdr:row>178</xdr:row>
      <xdr:rowOff>137160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𝑩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=∅</m:t>
                    </m:r>
                  </m:oMath>
                </m:oMathPara>
              </a14:m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87959E29-31E6-4E6E-B73B-F4B6C084CD45}"/>
                </a:ext>
              </a:extLst>
            </xdr:cNvPr>
            <xdr:cNvSpPr txBox="1"/>
          </xdr:nvSpPr>
          <xdr:spPr>
            <a:xfrm>
              <a:off x="15910560" y="3841242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𝑩𝟏(𝒂_𝟒 )=∅</a:t>
              </a:r>
              <a:endParaRPr lang="en-US" sz="1400" b="1" i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16</xdr:col>
      <xdr:colOff>106680</xdr:colOff>
      <xdr:row>180</xdr:row>
      <xdr:rowOff>129540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27DEC559-9DAB-49E3-A3C0-2C30A401988F}"/>
                </a:ext>
              </a:extLst>
            </xdr:cNvPr>
            <xdr:cNvSpPr txBox="1"/>
          </xdr:nvSpPr>
          <xdr:spPr>
            <a:xfrm>
              <a:off x="15918180" y="3890010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219287</xdr:colOff>
      <xdr:row>175</xdr:row>
      <xdr:rowOff>14392</xdr:rowOff>
    </xdr:from>
    <xdr:ext cx="17023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53FCD399-97D2-455D-8526-7B2574F64424}"/>
                </a:ext>
              </a:extLst>
            </xdr:cNvPr>
            <xdr:cNvSpPr txBox="1"/>
          </xdr:nvSpPr>
          <xdr:spPr>
            <a:xfrm>
              <a:off x="219287" y="29138032"/>
              <a:ext cx="17023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𝑺_𝒊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228600</xdr:colOff>
      <xdr:row>169</xdr:row>
      <xdr:rowOff>15240</xdr:rowOff>
    </xdr:from>
    <xdr:ext cx="1828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𝑺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55208894-C3A0-438A-8B90-604EF805E987}"/>
                </a:ext>
              </a:extLst>
            </xdr:cNvPr>
            <xdr:cNvSpPr txBox="1"/>
          </xdr:nvSpPr>
          <xdr:spPr>
            <a:xfrm>
              <a:off x="228600" y="27767280"/>
              <a:ext cx="1828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230293</xdr:colOff>
      <xdr:row>178</xdr:row>
      <xdr:rowOff>10161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9A04E60-916D-45FF-8311-7654AB2C86F9}"/>
                </a:ext>
              </a:extLst>
            </xdr:cNvPr>
            <xdr:cNvSpPr txBox="1"/>
          </xdr:nvSpPr>
          <xdr:spPr>
            <a:xfrm>
              <a:off x="11987953" y="3809492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329360</xdr:colOff>
      <xdr:row>163</xdr:row>
      <xdr:rowOff>181189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850B73D-1255-4EF5-840F-CCD42860EED2}"/>
                </a:ext>
              </a:extLst>
            </xdr:cNvPr>
            <xdr:cNvSpPr txBox="1"/>
          </xdr:nvSpPr>
          <xdr:spPr>
            <a:xfrm>
              <a:off x="9046640" y="266987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352220</xdr:colOff>
      <xdr:row>165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D81A622-E6FD-4635-816D-494ED962FBE0}"/>
                </a:ext>
              </a:extLst>
            </xdr:cNvPr>
            <xdr:cNvSpPr txBox="1"/>
          </xdr:nvSpPr>
          <xdr:spPr>
            <a:xfrm>
              <a:off x="9069500" y="269350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854284</xdr:colOff>
      <xdr:row>192</xdr:row>
      <xdr:rowOff>125306</xdr:rowOff>
    </xdr:from>
    <xdr:ext cx="38946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89641E87-72F9-4A70-A7CE-268A42510E0C}"/>
                </a:ext>
              </a:extLst>
            </xdr:cNvPr>
            <xdr:cNvSpPr txBox="1"/>
          </xdr:nvSpPr>
          <xdr:spPr>
            <a:xfrm>
              <a:off x="1463884" y="32952266"/>
              <a:ext cx="38946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𝒋&lt;𝒑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329360</xdr:colOff>
      <xdr:row>193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0CAB40E4-5807-44CF-819C-F55E67F58062}"/>
                </a:ext>
              </a:extLst>
            </xdr:cNvPr>
            <xdr:cNvSpPr txBox="1"/>
          </xdr:nvSpPr>
          <xdr:spPr>
            <a:xfrm>
              <a:off x="3979340" y="3306148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352220</xdr:colOff>
      <xdr:row>192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1CA5C880-E516-4B8E-B638-4901201607A5}"/>
                </a:ext>
              </a:extLst>
            </xdr:cNvPr>
            <xdr:cNvSpPr txBox="1"/>
          </xdr:nvSpPr>
          <xdr:spPr>
            <a:xfrm>
              <a:off x="4002200" y="3283288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243840</xdr:colOff>
      <xdr:row>204</xdr:row>
      <xdr:rowOff>76200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CAF02ED-0EB4-4583-A161-F1CE9C10CE97}"/>
                </a:ext>
              </a:extLst>
            </xdr:cNvPr>
            <xdr:cNvSpPr txBox="1"/>
          </xdr:nvSpPr>
          <xdr:spPr>
            <a:xfrm>
              <a:off x="853440" y="4374642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〖𝒔𝒄𝒐𝒓𝒆〗_𝟏=|𝑩_𝟏 (𝒂_𝒋)|/|𝑲_𝟏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251460</xdr:colOff>
      <xdr:row>208</xdr:row>
      <xdr:rowOff>91440</xdr:rowOff>
    </xdr:from>
    <xdr:ext cx="1487908" cy="487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𝒔𝒄𝒐𝒓𝒆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𝑩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𝒂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5C30AC1F-E97F-4B11-883A-5C5EB0E0A480}"/>
                </a:ext>
              </a:extLst>
            </xdr:cNvPr>
            <xdr:cNvSpPr txBox="1"/>
          </xdr:nvSpPr>
          <xdr:spPr>
            <a:xfrm>
              <a:off x="861060" y="44706540"/>
              <a:ext cx="1487908" cy="487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〖𝒔𝒄𝒐𝒓𝒆〗_𝟐=|𝑩_𝟐 (𝒂_𝒋)|/|𝑲_𝟐 | 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4</xdr:col>
      <xdr:colOff>182880</xdr:colOff>
      <xdr:row>205</xdr:row>
      <xdr:rowOff>188889</xdr:rowOff>
    </xdr:from>
    <xdr:ext cx="2721514" cy="797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sSubSup>
                              <m:sSubSup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𝟏𝟏</m:t>
                                </m:r>
                              </m:sub>
                              <m:sup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𝒏𝒆𝒘</m:t>
                                </m:r>
                              </m:sup>
                            </m:sSubSup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                 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𝒔𝒄𝒐𝒓𝒆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05686E8-98B7-411D-8A36-726C6ADED525}"/>
                </a:ext>
              </a:extLst>
            </xdr:cNvPr>
            <xdr:cNvSpPr txBox="1"/>
          </xdr:nvSpPr>
          <xdr:spPr>
            <a:xfrm>
              <a:off x="3832860" y="44125809"/>
              <a:ext cx="2721514" cy="797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{█(𝑺_𝟏𝟏^𝒏𝒆𝒘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∈𝑲_𝟏,  〖𝒔𝒄𝒐𝒓𝒆〗_𝟏&gt;〖𝒔𝒄𝒐𝒓𝒆〗_𝟐@𝑺_𝟏𝟏^𝒏𝒆𝒘∈𝑲_𝟐,  〖𝒔𝒄𝒐𝒓𝒆〗_𝟏&lt;〖𝒔𝒄𝒐𝒓𝒆〗_𝟐@</a:t>
              </a:r>
              <a:r>
                <a:rPr lang="en-US" sz="1400" b="1" i="0">
                  <a:latin typeface="Cambria Math" panose="02040503050406030204" pitchFamily="18" charset="0"/>
                </a:rPr>
                <a:t>𝟎,                    〖𝒔𝒄𝒐𝒓𝒆〗_𝟏=〖𝒔𝒄𝒐𝒓𝒆〗_𝟐 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99060</xdr:colOff>
      <xdr:row>214</xdr:row>
      <xdr:rowOff>129540</xdr:rowOff>
    </xdr:from>
    <xdr:ext cx="96911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∅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88AAF78C-CDFD-4B1D-A8D7-27DC3AA9224C}"/>
                </a:ext>
              </a:extLst>
            </xdr:cNvPr>
            <xdr:cNvSpPr txBox="1"/>
          </xdr:nvSpPr>
          <xdr:spPr>
            <a:xfrm>
              <a:off x="708660" y="45979080"/>
              <a:ext cx="96911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𝑩𝟏(𝒂_𝟒 )=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∅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106680</xdr:colOff>
      <xdr:row>216</xdr:row>
      <xdr:rowOff>121920</xdr:rowOff>
    </xdr:from>
    <xdr:ext cx="1558054" cy="210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𝑩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𝒂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A3AD32DA-6D80-49EA-990E-5D3529809456}"/>
                </a:ext>
              </a:extLst>
            </xdr:cNvPr>
            <xdr:cNvSpPr txBox="1"/>
          </xdr:nvSpPr>
          <xdr:spPr>
            <a:xfrm>
              <a:off x="716280" y="46466760"/>
              <a:ext cx="1558054" cy="210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𝑩𝟐(𝒂_𝟒 )={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𝑺_𝟗, 𝑺_𝟏𝟎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312420</xdr:colOff>
      <xdr:row>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5F9DD44-EB66-4F0E-9921-3381F6416CC1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312420</xdr:colOff>
      <xdr:row>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B0F67E9-E596-4C30-A35F-18B266D7FE09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205</xdr:row>
      <xdr:rowOff>7620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8A428D9E-0563-4F2F-BC7B-3B7CFF51D1D6}"/>
                </a:ext>
              </a:extLst>
            </xdr:cNvPr>
            <xdr:cNvSpPr txBox="1"/>
          </xdr:nvSpPr>
          <xdr:spPr>
            <a:xfrm>
              <a:off x="15110460" y="115062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312420</xdr:colOff>
      <xdr:row>206</xdr:row>
      <xdr:rowOff>15240</xdr:rowOff>
    </xdr:from>
    <xdr:ext cx="48154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72D0049-7D9E-4E17-B77F-87806D3AFA86}"/>
                </a:ext>
              </a:extLst>
            </xdr:cNvPr>
            <xdr:cNvSpPr txBox="1"/>
          </xdr:nvSpPr>
          <xdr:spPr>
            <a:xfrm>
              <a:off x="15110460" y="1386840"/>
              <a:ext cx="48154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215</xdr:row>
      <xdr:rowOff>7620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1182A348-BEBE-4E72-8FDC-5357D7CA563E}"/>
                </a:ext>
              </a:extLst>
            </xdr:cNvPr>
            <xdr:cNvSpPr txBox="1"/>
          </xdr:nvSpPr>
          <xdr:spPr>
            <a:xfrm>
              <a:off x="3962400" y="4612386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|𝑩_𝟏 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312420</xdr:colOff>
      <xdr:row>216</xdr:row>
      <xdr:rowOff>15240</xdr:rowOff>
    </xdr:from>
    <xdr:ext cx="47481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𝑩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92CDE52B-DDDD-4201-93A5-F4306D41B312}"/>
                </a:ext>
              </a:extLst>
            </xdr:cNvPr>
            <xdr:cNvSpPr txBox="1"/>
          </xdr:nvSpPr>
          <xdr:spPr>
            <a:xfrm>
              <a:off x="3962400" y="46360080"/>
              <a:ext cx="47481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|𝑩_𝟐 |=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198120</xdr:colOff>
      <xdr:row>222</xdr:row>
      <xdr:rowOff>114300</xdr:rowOff>
    </xdr:from>
    <xdr:ext cx="65338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  <m:sup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𝒏𝒆𝒘</m:t>
                        </m:r>
                      </m:sup>
                    </m:sSubSup>
                    <m:r>
                      <a:rPr lang="en-US" sz="16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81FC62B-A26E-4477-9251-0CDEE3F9180B}"/>
                </a:ext>
              </a:extLst>
            </xdr:cNvPr>
            <xdr:cNvSpPr txBox="1"/>
          </xdr:nvSpPr>
          <xdr:spPr>
            <a:xfrm>
              <a:off x="807720" y="47693580"/>
              <a:ext cx="6533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𝑺_𝟏𝟏^𝒏𝒆𝒘∈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329360</xdr:colOff>
      <xdr:row>210</xdr:row>
      <xdr:rowOff>5929</xdr:rowOff>
    </xdr:from>
    <xdr:ext cx="28648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96574211-E413-4E8B-B48B-7737F4403C36}"/>
                </a:ext>
              </a:extLst>
            </xdr:cNvPr>
            <xdr:cNvSpPr txBox="1"/>
          </xdr:nvSpPr>
          <xdr:spPr>
            <a:xfrm>
              <a:off x="3979340" y="41527309"/>
              <a:ext cx="28648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𝒑=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352220</xdr:colOff>
      <xdr:row>209</xdr:row>
      <xdr:rowOff>5929</xdr:rowOff>
    </xdr:from>
    <xdr:ext cx="25090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D26AF1BD-C1AF-4057-8C8F-118BF8A144B0}"/>
                </a:ext>
              </a:extLst>
            </xdr:cNvPr>
            <xdr:cNvSpPr txBox="1"/>
          </xdr:nvSpPr>
          <xdr:spPr>
            <a:xfrm>
              <a:off x="4002200" y="41298709"/>
              <a:ext cx="25090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𝒋=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325967</xdr:colOff>
      <xdr:row>2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89AEAE-3075-4919-B049-60CD9786E0AC}"/>
                </a:ext>
              </a:extLst>
            </xdr:cNvPr>
            <xdr:cNvSpPr txBox="1"/>
          </xdr:nvSpPr>
          <xdr:spPr>
            <a:xfrm>
              <a:off x="325967" y="479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689AEAE-3075-4919-B049-60CD9786E0AC}"/>
                </a:ext>
              </a:extLst>
            </xdr:cNvPr>
            <xdr:cNvSpPr txBox="1"/>
          </xdr:nvSpPr>
          <xdr:spPr>
            <a:xfrm>
              <a:off x="325967" y="479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95A0C59-9E05-4CBD-A27B-ED488A3F9603}"/>
                </a:ext>
              </a:extLst>
            </xdr:cNvPr>
            <xdr:cNvSpPr txBox="1"/>
          </xdr:nvSpPr>
          <xdr:spPr>
            <a:xfrm>
              <a:off x="325967" y="70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95A0C59-9E05-4CBD-A27B-ED488A3F9603}"/>
                </a:ext>
              </a:extLst>
            </xdr:cNvPr>
            <xdr:cNvSpPr txBox="1"/>
          </xdr:nvSpPr>
          <xdr:spPr>
            <a:xfrm>
              <a:off x="325967" y="70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5DB4723-0B87-498C-BE4C-2FC6135ABD69}"/>
                </a:ext>
              </a:extLst>
            </xdr:cNvPr>
            <xdr:cNvSpPr txBox="1"/>
          </xdr:nvSpPr>
          <xdr:spPr>
            <a:xfrm>
              <a:off x="3259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5DB4723-0B87-498C-BE4C-2FC6135ABD69}"/>
                </a:ext>
              </a:extLst>
            </xdr:cNvPr>
            <xdr:cNvSpPr txBox="1"/>
          </xdr:nvSpPr>
          <xdr:spPr>
            <a:xfrm>
              <a:off x="3259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BD0C8A-D561-44BE-B572-75045AE7A4B6}"/>
                </a:ext>
              </a:extLst>
            </xdr:cNvPr>
            <xdr:cNvSpPr txBox="1"/>
          </xdr:nvSpPr>
          <xdr:spPr>
            <a:xfrm>
              <a:off x="3259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BD0C8A-D561-44BE-B572-75045AE7A4B6}"/>
                </a:ext>
              </a:extLst>
            </xdr:cNvPr>
            <xdr:cNvSpPr txBox="1"/>
          </xdr:nvSpPr>
          <xdr:spPr>
            <a:xfrm>
              <a:off x="3259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F5B0542-8168-4521-BB57-9D430B28A936}"/>
                </a:ext>
              </a:extLst>
            </xdr:cNvPr>
            <xdr:cNvSpPr txBox="1"/>
          </xdr:nvSpPr>
          <xdr:spPr>
            <a:xfrm>
              <a:off x="3259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F5B0542-8168-4521-BB57-9D430B28A936}"/>
                </a:ext>
              </a:extLst>
            </xdr:cNvPr>
            <xdr:cNvSpPr txBox="1"/>
          </xdr:nvSpPr>
          <xdr:spPr>
            <a:xfrm>
              <a:off x="3259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318347</xdr:colOff>
      <xdr:row>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6854C74-751A-401C-A43D-BE9C48724751}"/>
                </a:ext>
              </a:extLst>
            </xdr:cNvPr>
            <xdr:cNvSpPr txBox="1"/>
          </xdr:nvSpPr>
          <xdr:spPr>
            <a:xfrm>
              <a:off x="318347" y="162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6854C74-751A-401C-A43D-BE9C48724751}"/>
                </a:ext>
              </a:extLst>
            </xdr:cNvPr>
            <xdr:cNvSpPr txBox="1"/>
          </xdr:nvSpPr>
          <xdr:spPr>
            <a:xfrm>
              <a:off x="318347" y="162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9DDCD-96A3-4434-8C8B-1149E9B164EB}"/>
                </a:ext>
              </a:extLst>
            </xdr:cNvPr>
            <xdr:cNvSpPr txBox="1"/>
          </xdr:nvSpPr>
          <xdr:spPr>
            <a:xfrm>
              <a:off x="3259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9DDCD-96A3-4434-8C8B-1149E9B164EB}"/>
                </a:ext>
              </a:extLst>
            </xdr:cNvPr>
            <xdr:cNvSpPr txBox="1"/>
          </xdr:nvSpPr>
          <xdr:spPr>
            <a:xfrm>
              <a:off x="3259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B71F89C-6970-4693-BD1C-0E9E18A6EE2D}"/>
                </a:ext>
              </a:extLst>
            </xdr:cNvPr>
            <xdr:cNvSpPr txBox="1"/>
          </xdr:nvSpPr>
          <xdr:spPr>
            <a:xfrm>
              <a:off x="3259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B71F89C-6970-4693-BD1C-0E9E18A6EE2D}"/>
                </a:ext>
              </a:extLst>
            </xdr:cNvPr>
            <xdr:cNvSpPr txBox="1"/>
          </xdr:nvSpPr>
          <xdr:spPr>
            <a:xfrm>
              <a:off x="3259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4C9A3A-9652-4C4E-93AE-60A0C4D5F573}"/>
                </a:ext>
              </a:extLst>
            </xdr:cNvPr>
            <xdr:cNvSpPr txBox="1"/>
          </xdr:nvSpPr>
          <xdr:spPr>
            <a:xfrm>
              <a:off x="325967" y="2308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4C9A3A-9652-4C4E-93AE-60A0C4D5F573}"/>
                </a:ext>
              </a:extLst>
            </xdr:cNvPr>
            <xdr:cNvSpPr txBox="1"/>
          </xdr:nvSpPr>
          <xdr:spPr>
            <a:xfrm>
              <a:off x="325967" y="2308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A39216-9865-4C43-8759-531298BCE216}"/>
                </a:ext>
              </a:extLst>
            </xdr:cNvPr>
            <xdr:cNvSpPr txBox="1"/>
          </xdr:nvSpPr>
          <xdr:spPr>
            <a:xfrm>
              <a:off x="2920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A39216-9865-4C43-8759-531298BCE216}"/>
                </a:ext>
              </a:extLst>
            </xdr:cNvPr>
            <xdr:cNvSpPr txBox="1"/>
          </xdr:nvSpPr>
          <xdr:spPr>
            <a:xfrm>
              <a:off x="2920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FCEE50-C477-4421-9EAD-2BDED55A2647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FCEE50-C477-4421-9EAD-2BDED55A2647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009FC5-78E0-45BC-AC9E-E72CF49C11E8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009FC5-78E0-45BC-AC9E-E72CF49C11E8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E3E79E2-4F94-4729-B8E2-21B0CCA30B7C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E3E79E2-4F94-4729-B8E2-21B0CCA30B7C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DD82359-F45C-4E30-8F79-B2FDE28D74C2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DD82359-F45C-4E30-8F79-B2FDE28D74C2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268393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B80285-27F9-4240-BE7D-F4DAA47FB073}"/>
                </a:ext>
              </a:extLst>
            </xdr:cNvPr>
            <xdr:cNvSpPr txBox="1"/>
          </xdr:nvSpPr>
          <xdr:spPr>
            <a:xfrm>
              <a:off x="87570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B80285-27F9-4240-BE7D-F4DAA47FB073}"/>
                </a:ext>
              </a:extLst>
            </xdr:cNvPr>
            <xdr:cNvSpPr txBox="1"/>
          </xdr:nvSpPr>
          <xdr:spPr>
            <a:xfrm>
              <a:off x="87570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237913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D5A3B1C-5B0C-4F06-AE0D-AB347CDB4757}"/>
                </a:ext>
              </a:extLst>
            </xdr:cNvPr>
            <xdr:cNvSpPr txBox="1"/>
          </xdr:nvSpPr>
          <xdr:spPr>
            <a:xfrm>
              <a:off x="974005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D5A3B1C-5B0C-4F06-AE0D-AB347CDB4757}"/>
                </a:ext>
              </a:extLst>
            </xdr:cNvPr>
            <xdr:cNvSpPr txBox="1"/>
          </xdr:nvSpPr>
          <xdr:spPr>
            <a:xfrm>
              <a:off x="974005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260773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486D7-2DF7-49F8-AF25-2AD8DF1590C0}"/>
                </a:ext>
              </a:extLst>
            </xdr:cNvPr>
            <xdr:cNvSpPr txBox="1"/>
          </xdr:nvSpPr>
          <xdr:spPr>
            <a:xfrm>
              <a:off x="107763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486D7-2DF7-49F8-AF25-2AD8DF1590C0}"/>
                </a:ext>
              </a:extLst>
            </xdr:cNvPr>
            <xdr:cNvSpPr txBox="1"/>
          </xdr:nvSpPr>
          <xdr:spPr>
            <a:xfrm>
              <a:off x="107763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243839</xdr:colOff>
      <xdr:row>1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40165EB-E4A7-4AF4-90F5-8867321716C5}"/>
                </a:ext>
              </a:extLst>
            </xdr:cNvPr>
            <xdr:cNvSpPr txBox="1"/>
          </xdr:nvSpPr>
          <xdr:spPr>
            <a:xfrm>
              <a:off x="1177289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40165EB-E4A7-4AF4-90F5-8867321716C5}"/>
                </a:ext>
              </a:extLst>
            </xdr:cNvPr>
            <xdr:cNvSpPr txBox="1"/>
          </xdr:nvSpPr>
          <xdr:spPr>
            <a:xfrm>
              <a:off x="1177289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F11030D-8795-4BC2-ABFB-DFA467E65684}"/>
                </a:ext>
              </a:extLst>
            </xdr:cNvPr>
            <xdr:cNvSpPr txBox="1"/>
          </xdr:nvSpPr>
          <xdr:spPr>
            <a:xfrm>
              <a:off x="87841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F11030D-8795-4BC2-ABFB-DFA467E65684}"/>
                </a:ext>
              </a:extLst>
            </xdr:cNvPr>
            <xdr:cNvSpPr txBox="1"/>
          </xdr:nvSpPr>
          <xdr:spPr>
            <a:xfrm>
              <a:off x="87841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356447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A49AA74-D119-47CC-A273-BFECE829F44C}"/>
                </a:ext>
              </a:extLst>
            </xdr:cNvPr>
            <xdr:cNvSpPr txBox="1"/>
          </xdr:nvSpPr>
          <xdr:spPr>
            <a:xfrm>
              <a:off x="879178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A49AA74-D119-47CC-A273-BFECE829F44C}"/>
                </a:ext>
              </a:extLst>
            </xdr:cNvPr>
            <xdr:cNvSpPr txBox="1"/>
          </xdr:nvSpPr>
          <xdr:spPr>
            <a:xfrm>
              <a:off x="8791787" y="46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AF6E483-0DCA-48CB-9311-2773925D484C}"/>
                </a:ext>
              </a:extLst>
            </xdr:cNvPr>
            <xdr:cNvSpPr txBox="1"/>
          </xdr:nvSpPr>
          <xdr:spPr>
            <a:xfrm>
              <a:off x="877654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AF6E483-0DCA-48CB-9311-2773925D484C}"/>
                </a:ext>
              </a:extLst>
            </xdr:cNvPr>
            <xdr:cNvSpPr txBox="1"/>
          </xdr:nvSpPr>
          <xdr:spPr>
            <a:xfrm>
              <a:off x="8776547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356447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DA2FD1-7562-4E09-AE09-5CE92ACF8BFD}"/>
                </a:ext>
              </a:extLst>
            </xdr:cNvPr>
            <xdr:cNvSpPr txBox="1"/>
          </xdr:nvSpPr>
          <xdr:spPr>
            <a:xfrm>
              <a:off x="879178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DA2FD1-7562-4E09-AE09-5CE92ACF8BFD}"/>
                </a:ext>
              </a:extLst>
            </xdr:cNvPr>
            <xdr:cNvSpPr txBox="1"/>
          </xdr:nvSpPr>
          <xdr:spPr>
            <a:xfrm>
              <a:off x="8791787" y="692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912936-D860-4336-8521-053F3C9C6FEE}"/>
                </a:ext>
              </a:extLst>
            </xdr:cNvPr>
            <xdr:cNvSpPr txBox="1"/>
          </xdr:nvSpPr>
          <xdr:spPr>
            <a:xfrm>
              <a:off x="87841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912936-D860-4336-8521-053F3C9C6FEE}"/>
                </a:ext>
              </a:extLst>
            </xdr:cNvPr>
            <xdr:cNvSpPr txBox="1"/>
          </xdr:nvSpPr>
          <xdr:spPr>
            <a:xfrm>
              <a:off x="8784167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6E33C7-6BC7-4050-99BA-4B4E7407D8C7}"/>
                </a:ext>
              </a:extLst>
            </xdr:cNvPr>
            <xdr:cNvSpPr txBox="1"/>
          </xdr:nvSpPr>
          <xdr:spPr>
            <a:xfrm>
              <a:off x="87841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6E33C7-6BC7-4050-99BA-4B4E7407D8C7}"/>
                </a:ext>
              </a:extLst>
            </xdr:cNvPr>
            <xdr:cNvSpPr txBox="1"/>
          </xdr:nvSpPr>
          <xdr:spPr>
            <a:xfrm>
              <a:off x="8784167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E874151-2D55-4D81-BBEF-FE4D94D1B2DA}"/>
                </a:ext>
              </a:extLst>
            </xdr:cNvPr>
            <xdr:cNvSpPr txBox="1"/>
          </xdr:nvSpPr>
          <xdr:spPr>
            <a:xfrm>
              <a:off x="87841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E874151-2D55-4D81-BBEF-FE4D94D1B2DA}"/>
                </a:ext>
              </a:extLst>
            </xdr:cNvPr>
            <xdr:cNvSpPr txBox="1"/>
          </xdr:nvSpPr>
          <xdr:spPr>
            <a:xfrm>
              <a:off x="8784167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348827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E73CB18-1AA9-42C7-9CAD-268EC3FB132D}"/>
                </a:ext>
              </a:extLst>
            </xdr:cNvPr>
            <xdr:cNvSpPr txBox="1"/>
          </xdr:nvSpPr>
          <xdr:spPr>
            <a:xfrm>
              <a:off x="87841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E73CB18-1AA9-42C7-9CAD-268EC3FB132D}"/>
                </a:ext>
              </a:extLst>
            </xdr:cNvPr>
            <xdr:cNvSpPr txBox="1"/>
          </xdr:nvSpPr>
          <xdr:spPr>
            <a:xfrm>
              <a:off x="8784167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B181A3C-4DF5-4CB4-9345-46F9D671D869}"/>
                </a:ext>
              </a:extLst>
            </xdr:cNvPr>
            <xdr:cNvSpPr txBox="1"/>
          </xdr:nvSpPr>
          <xdr:spPr>
            <a:xfrm>
              <a:off x="877654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B181A3C-4DF5-4CB4-9345-46F9D671D869}"/>
                </a:ext>
              </a:extLst>
            </xdr:cNvPr>
            <xdr:cNvSpPr txBox="1"/>
          </xdr:nvSpPr>
          <xdr:spPr>
            <a:xfrm>
              <a:off x="8776547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314959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FD279C-0446-4E47-A1C7-073F37C9082E}"/>
                </a:ext>
              </a:extLst>
            </xdr:cNvPr>
            <xdr:cNvSpPr txBox="1"/>
          </xdr:nvSpPr>
          <xdr:spPr>
            <a:xfrm>
              <a:off x="87502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FD279C-0446-4E47-A1C7-073F37C9082E}"/>
                </a:ext>
              </a:extLst>
            </xdr:cNvPr>
            <xdr:cNvSpPr txBox="1"/>
          </xdr:nvSpPr>
          <xdr:spPr>
            <a:xfrm>
              <a:off x="8750299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372536</xdr:colOff>
      <xdr:row>4</xdr:row>
      <xdr:rowOff>121920</xdr:rowOff>
    </xdr:from>
    <xdr:to>
      <xdr:col>8</xdr:col>
      <xdr:colOff>623996</xdr:colOff>
      <xdr:row>6</xdr:row>
      <xdr:rowOff>106680</xdr:rowOff>
    </xdr:to>
    <xdr:sp macro="" textlink="">
      <xdr:nvSpPr>
        <xdr:cNvPr id="53" name="Arrow: Notched Right 52">
          <a:extLst>
            <a:ext uri="{FF2B5EF4-FFF2-40B4-BE49-F238E27FC236}">
              <a16:creationId xmlns:a16="http://schemas.microsoft.com/office/drawing/2014/main" id="{A8092B85-FC7C-47CB-A91F-EDD1F10A2CBF}"/>
            </a:ext>
          </a:extLst>
        </xdr:cNvPr>
        <xdr:cNvSpPr/>
      </xdr:nvSpPr>
      <xdr:spPr>
        <a:xfrm>
          <a:off x="6468536" y="1036320"/>
          <a:ext cx="2283460" cy="44196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1">
              <a:solidFill>
                <a:sysClr val="windowText" lastClr="000000"/>
              </a:solidFill>
            </a:rPr>
            <a:t>Sorted based</a:t>
          </a:r>
          <a:r>
            <a:rPr lang="en-US" sz="1200" b="1" i="1" baseline="0">
              <a:solidFill>
                <a:sysClr val="windowText" lastClr="000000"/>
              </a:solidFill>
            </a:rPr>
            <a:t> on Classes</a:t>
          </a:r>
        </a:p>
      </xdr:txBody>
    </xdr:sp>
    <xdr:clientData/>
  </xdr:twoCellAnchor>
  <xdr:oneCellAnchor>
    <xdr:from>
      <xdr:col>1</xdr:col>
      <xdr:colOff>263314</xdr:colOff>
      <xdr:row>17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26</xdr:col>
      <xdr:colOff>60</xdr:colOff>
      <xdr:row>15</xdr:row>
      <xdr:rowOff>8467</xdr:rowOff>
    </xdr:from>
    <xdr:to>
      <xdr:col>31</xdr:col>
      <xdr:colOff>8468</xdr:colOff>
      <xdr:row>29</xdr:row>
      <xdr:rowOff>227767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14A27F12-4179-40A7-B4FC-FCCC47171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126155</xdr:colOff>
      <xdr:row>22</xdr:row>
      <xdr:rowOff>220133</xdr:rowOff>
    </xdr:from>
    <xdr:to>
      <xdr:col>11</xdr:col>
      <xdr:colOff>842435</xdr:colOff>
      <xdr:row>22</xdr:row>
      <xdr:rowOff>220133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455006F2-8926-4CBC-946A-1E9469C01E77}"/>
            </a:ext>
          </a:extLst>
        </xdr:cNvPr>
        <xdr:cNvCxnSpPr/>
      </xdr:nvCxnSpPr>
      <xdr:spPr>
        <a:xfrm>
          <a:off x="9270155" y="5249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20</xdr:row>
      <xdr:rowOff>22860</xdr:rowOff>
    </xdr:from>
    <xdr:to>
      <xdr:col>10</xdr:col>
      <xdr:colOff>480060</xdr:colOff>
      <xdr:row>22</xdr:row>
      <xdr:rowOff>144780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AB96A452-2F72-40B7-BD60-5BAED779108A}"/>
            </a:ext>
          </a:extLst>
        </xdr:cNvPr>
        <xdr:cNvCxnSpPr/>
      </xdr:nvCxnSpPr>
      <xdr:spPr>
        <a:xfrm flipH="1" flipV="1">
          <a:off x="4396740" y="6819900"/>
          <a:ext cx="0" cy="5029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378455</xdr:colOff>
      <xdr:row>10</xdr:row>
      <xdr:rowOff>144780</xdr:rowOff>
    </xdr:from>
    <xdr:ext cx="2291076" cy="237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C81AF337-6AFB-4F0C-82CB-C1ACC1F56D1E}"/>
                </a:ext>
              </a:extLst>
            </xdr:cNvPr>
            <xdr:cNvSpPr txBox="1"/>
          </xdr:nvSpPr>
          <xdr:spPr>
            <a:xfrm>
              <a:off x="17650455" y="830580"/>
              <a:ext cx="2291076" cy="237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𝒎𝒂𝒓𝒈𝒊𝒏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𝑪𝒍𝒂𝒔𝒔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𝒎𝒊𝒏</m:t>
                        </m:r>
                      </m:sup>
                    </m:sSubSup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sSubSup>
                      <m:sSubSup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𝑪𝒍𝒂𝒔𝒔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𝒎𝒂𝒙</m:t>
                        </m:r>
                      </m:sup>
                    </m:sSubSup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C81AF337-6AFB-4F0C-82CB-C1ACC1F56D1E}"/>
                </a:ext>
              </a:extLst>
            </xdr:cNvPr>
            <xdr:cNvSpPr txBox="1"/>
          </xdr:nvSpPr>
          <xdr:spPr>
            <a:xfrm>
              <a:off x="17650455" y="830580"/>
              <a:ext cx="2291076" cy="237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𝒎𝒂𝒓𝒈𝒊𝒏=𝒙_(𝑪𝒍𝒂𝒔𝒔 𝟏)^𝒎𝒊𝒏−𝒙_(𝑪𝒍𝒂𝒔𝒔 𝟐)^𝒎𝒂𝒙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16</xdr:col>
      <xdr:colOff>638379</xdr:colOff>
      <xdr:row>5</xdr:row>
      <xdr:rowOff>167640</xdr:rowOff>
    </xdr:from>
    <xdr:ext cx="1721369" cy="445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CA4D7E2-39E2-4A57-99F4-1C3B5C2B8BFA}"/>
                </a:ext>
              </a:extLst>
            </xdr:cNvPr>
            <xdr:cNvSpPr txBox="1"/>
          </xdr:nvSpPr>
          <xdr:spPr>
            <a:xfrm>
              <a:off x="16894379" y="1767840"/>
              <a:ext cx="1721369" cy="445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𝒃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𝑪𝒍𝒂𝒔𝒔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  <m:sup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sup>
                        </m:sSubSup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𝑪𝒍𝒂𝒔𝒔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  <m:sup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𝒎𝒂𝒙</m:t>
                            </m:r>
                          </m:sup>
                        </m:sSubSup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CA4D7E2-39E2-4A57-99F4-1C3B5C2B8BFA}"/>
                </a:ext>
              </a:extLst>
            </xdr:cNvPr>
            <xdr:cNvSpPr txBox="1"/>
          </xdr:nvSpPr>
          <xdr:spPr>
            <a:xfrm>
              <a:off x="16894379" y="1767840"/>
              <a:ext cx="1721369" cy="445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𝒃=(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𝒙_(𝑪𝒍𝒂𝒔𝒔 𝟏)^𝒎𝒊𝒏+𝒙_(𝑪𝒍𝒂𝒔𝒔 𝟐)^𝒎𝒂𝒙)/</a:t>
              </a:r>
              <a:r>
                <a:rPr lang="en-US" sz="1400" b="1" i="0">
                  <a:latin typeface="Cambria Math" panose="02040503050406030204" pitchFamily="18" charset="0"/>
                </a:rPr>
                <a:t>𝟐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</xdr:col>
      <xdr:colOff>232834</xdr:colOff>
      <xdr:row>33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5C82B23-5D06-4D40-B62C-E2C5F09E6F70}"/>
                </a:ext>
              </a:extLst>
            </xdr:cNvPr>
            <xdr:cNvSpPr txBox="1"/>
          </xdr:nvSpPr>
          <xdr:spPr>
            <a:xfrm>
              <a:off x="1248834" y="75615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35C82B23-5D06-4D40-B62C-E2C5F09E6F70}"/>
                </a:ext>
              </a:extLst>
            </xdr:cNvPr>
            <xdr:cNvSpPr txBox="1"/>
          </xdr:nvSpPr>
          <xdr:spPr>
            <a:xfrm>
              <a:off x="1248834" y="75615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38</xdr:row>
      <xdr:rowOff>220133</xdr:rowOff>
    </xdr:from>
    <xdr:to>
      <xdr:col>11</xdr:col>
      <xdr:colOff>842435</xdr:colOff>
      <xdr:row>38</xdr:row>
      <xdr:rowOff>220133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657DEA3-DDF5-48FF-8884-977C8DD059FF}"/>
            </a:ext>
          </a:extLst>
        </xdr:cNvPr>
        <xdr:cNvCxnSpPr/>
      </xdr:nvCxnSpPr>
      <xdr:spPr>
        <a:xfrm>
          <a:off x="9270155" y="89069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36</xdr:row>
      <xdr:rowOff>22860</xdr:rowOff>
    </xdr:from>
    <xdr:to>
      <xdr:col>10</xdr:col>
      <xdr:colOff>480060</xdr:colOff>
      <xdr:row>38</xdr:row>
      <xdr:rowOff>144780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85235EE2-B1D0-4D49-A6AF-301E515B0B97}"/>
            </a:ext>
          </a:extLst>
        </xdr:cNvPr>
        <xdr:cNvCxnSpPr/>
      </xdr:nvCxnSpPr>
      <xdr:spPr>
        <a:xfrm flipH="1" flipV="1">
          <a:off x="10640060" y="4594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134622</xdr:colOff>
      <xdr:row>54</xdr:row>
      <xdr:rowOff>220133</xdr:rowOff>
    </xdr:from>
    <xdr:to>
      <xdr:col>11</xdr:col>
      <xdr:colOff>850902</xdr:colOff>
      <xdr:row>54</xdr:row>
      <xdr:rowOff>220133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370B245-2134-4924-A7DB-60595DCCFFFD}"/>
            </a:ext>
          </a:extLst>
        </xdr:cNvPr>
        <xdr:cNvCxnSpPr/>
      </xdr:nvCxnSpPr>
      <xdr:spPr>
        <a:xfrm>
          <a:off x="9278622" y="125645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52</xdr:row>
      <xdr:rowOff>22860</xdr:rowOff>
    </xdr:from>
    <xdr:to>
      <xdr:col>10</xdr:col>
      <xdr:colOff>480060</xdr:colOff>
      <xdr:row>54</xdr:row>
      <xdr:rowOff>144780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D20E0F3-02E3-471B-897C-EF0EB6BC94AC}"/>
            </a:ext>
          </a:extLst>
        </xdr:cNvPr>
        <xdr:cNvCxnSpPr/>
      </xdr:nvCxnSpPr>
      <xdr:spPr>
        <a:xfrm flipH="1" flipV="1">
          <a:off x="10640060" y="82524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264161</xdr:colOff>
      <xdr:row>49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6E2B0856-2CCF-450C-875D-1A48B89D2FF4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6E2B0856-2CCF-450C-875D-1A48B89D2FF4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134622</xdr:colOff>
      <xdr:row>70</xdr:row>
      <xdr:rowOff>220133</xdr:rowOff>
    </xdr:from>
    <xdr:to>
      <xdr:col>11</xdr:col>
      <xdr:colOff>850902</xdr:colOff>
      <xdr:row>70</xdr:row>
      <xdr:rowOff>220133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E3AFD68-325E-4D41-8E6D-6357631D445E}"/>
            </a:ext>
          </a:extLst>
        </xdr:cNvPr>
        <xdr:cNvCxnSpPr/>
      </xdr:nvCxnSpPr>
      <xdr:spPr>
        <a:xfrm>
          <a:off x="9278622" y="125645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68</xdr:row>
      <xdr:rowOff>22860</xdr:rowOff>
    </xdr:from>
    <xdr:to>
      <xdr:col>10</xdr:col>
      <xdr:colOff>480060</xdr:colOff>
      <xdr:row>70</xdr:row>
      <xdr:rowOff>144780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2D94F2F-19B7-4E7A-834E-B4918FD5BBE9}"/>
            </a:ext>
          </a:extLst>
        </xdr:cNvPr>
        <xdr:cNvCxnSpPr/>
      </xdr:nvCxnSpPr>
      <xdr:spPr>
        <a:xfrm flipH="1" flipV="1">
          <a:off x="10640060" y="119100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247227</xdr:colOff>
      <xdr:row>65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C9EF31-F8E2-4AFB-9AE2-D34250CD198C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C9EF31-F8E2-4AFB-9AE2-D34250CD198C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68C49C0-32DE-4AAC-B63E-64B726B8D758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68C49C0-32DE-4AAC-B63E-64B726B8D758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86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4A8D500-C6D1-489F-83A0-785467B60C13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54A8D500-C6D1-489F-83A0-785467B60C13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9C9B22F-79A4-4F55-A248-5FE17489B7E3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9C9B22F-79A4-4F55-A248-5FE17489B7E3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05A3842-B07C-41F3-BB51-2041D4E979C4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05A3842-B07C-41F3-BB51-2041D4E979C4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89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61829A-3562-4270-9406-FA94372963D1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61829A-3562-4270-9406-FA94372963D1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352215</xdr:colOff>
      <xdr:row>90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D42F62E-AD9B-4F1A-8F7C-6FC9BDB3C881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D42F62E-AD9B-4F1A-8F7C-6FC9BDB3C881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82C2B35-92CB-42F1-989B-147EC5052ED5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82C2B35-92CB-42F1-989B-147EC5052ED5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CB4C2CF-0418-4CD8-A954-8B8D33353180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CB4C2CF-0418-4CD8-A954-8B8D33353180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359835</xdr:colOff>
      <xdr:row>93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8186857-C1C0-4C0A-82D1-91972CBFEE7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8186857-C1C0-4C0A-82D1-91972CBFEE7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94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F043E90-E685-4B02-B651-A3906D82ED76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6F043E90-E685-4B02-B651-A3906D82ED76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67D75F1-8CCF-4D7B-A661-14BAAED74DEF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67D75F1-8CCF-4D7B-A661-14BAAED74DEF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D7F53B1-4BDA-41C9-B427-3F9B455D75BC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D7F53B1-4BDA-41C9-B427-3F9B455D75BC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80943B2-40A2-4B5D-9893-24DFE851E34A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80943B2-40A2-4B5D-9893-24DFE851E34A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A215FA8C-5535-4848-AB38-95CEAFFFC43F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A215FA8C-5535-4848-AB38-95CEAFFFC43F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268393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2BBD68E-1ED0-4498-8DAA-CF37E4398809}"/>
                </a:ext>
              </a:extLst>
            </xdr:cNvPr>
            <xdr:cNvSpPr txBox="1"/>
          </xdr:nvSpPr>
          <xdr:spPr>
            <a:xfrm>
              <a:off x="1042839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92BBD68E-1ED0-4498-8DAA-CF37E4398809}"/>
                </a:ext>
              </a:extLst>
            </xdr:cNvPr>
            <xdr:cNvSpPr txBox="1"/>
          </xdr:nvSpPr>
          <xdr:spPr>
            <a:xfrm>
              <a:off x="1042839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237913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6442A47-4D15-4C9F-9B60-0F2D107E0BD5}"/>
                </a:ext>
              </a:extLst>
            </xdr:cNvPr>
            <xdr:cNvSpPr txBox="1"/>
          </xdr:nvSpPr>
          <xdr:spPr>
            <a:xfrm>
              <a:off x="1141391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6442A47-4D15-4C9F-9B60-0F2D107E0BD5}"/>
                </a:ext>
              </a:extLst>
            </xdr:cNvPr>
            <xdr:cNvSpPr txBox="1"/>
          </xdr:nvSpPr>
          <xdr:spPr>
            <a:xfrm>
              <a:off x="1141391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260773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CC51048-19BF-4B44-ABF1-BD8A3C67709F}"/>
                </a:ext>
              </a:extLst>
            </xdr:cNvPr>
            <xdr:cNvSpPr txBox="1"/>
          </xdr:nvSpPr>
          <xdr:spPr>
            <a:xfrm>
              <a:off x="124527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CC51048-19BF-4B44-ABF1-BD8A3C67709F}"/>
                </a:ext>
              </a:extLst>
            </xdr:cNvPr>
            <xdr:cNvSpPr txBox="1"/>
          </xdr:nvSpPr>
          <xdr:spPr>
            <a:xfrm>
              <a:off x="12452773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243839</xdr:colOff>
      <xdr:row>84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D1B755F-3E95-4BCC-B723-5D200BD56EEC}"/>
                </a:ext>
              </a:extLst>
            </xdr:cNvPr>
            <xdr:cNvSpPr txBox="1"/>
          </xdr:nvSpPr>
          <xdr:spPr>
            <a:xfrm>
              <a:off x="1345183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D1B755F-3E95-4BCC-B723-5D200BD56EEC}"/>
                </a:ext>
              </a:extLst>
            </xdr:cNvPr>
            <xdr:cNvSpPr txBox="1"/>
          </xdr:nvSpPr>
          <xdr:spPr>
            <a:xfrm>
              <a:off x="13451839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6</xdr:col>
      <xdr:colOff>372536</xdr:colOff>
      <xdr:row>87</xdr:row>
      <xdr:rowOff>121920</xdr:rowOff>
    </xdr:from>
    <xdr:to>
      <xdr:col>8</xdr:col>
      <xdr:colOff>623996</xdr:colOff>
      <xdr:row>89</xdr:row>
      <xdr:rowOff>106680</xdr:rowOff>
    </xdr:to>
    <xdr:sp macro="" textlink="">
      <xdr:nvSpPr>
        <xdr:cNvPr id="84" name="Arrow: Notched Right 83">
          <a:extLst>
            <a:ext uri="{FF2B5EF4-FFF2-40B4-BE49-F238E27FC236}">
              <a16:creationId xmlns:a16="http://schemas.microsoft.com/office/drawing/2014/main" id="{DBBDF833-448A-491F-8BF4-7465580A713D}"/>
            </a:ext>
          </a:extLst>
        </xdr:cNvPr>
        <xdr:cNvSpPr/>
      </xdr:nvSpPr>
      <xdr:spPr>
        <a:xfrm>
          <a:off x="6468536" y="1036320"/>
          <a:ext cx="2283460" cy="44196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1">
              <a:solidFill>
                <a:sysClr val="windowText" lastClr="000000"/>
              </a:solidFill>
            </a:rPr>
            <a:t>Sorted based</a:t>
          </a:r>
          <a:r>
            <a:rPr lang="en-US" sz="1200" b="1" i="1" baseline="0">
              <a:solidFill>
                <a:sysClr val="windowText" lastClr="000000"/>
              </a:solidFill>
            </a:rPr>
            <a:t> on Classes</a:t>
          </a:r>
        </a:p>
      </xdr:txBody>
    </xdr:sp>
    <xdr:clientData/>
  </xdr:twoCellAnchor>
  <xdr:oneCellAnchor>
    <xdr:from>
      <xdr:col>9</xdr:col>
      <xdr:colOff>359835</xdr:colOff>
      <xdr:row>89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B696E-FDAF-411F-936C-9186155D17EF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1CB696E-FDAF-411F-936C-9186155D17EF}"/>
                </a:ext>
              </a:extLst>
            </xdr:cNvPr>
            <xdr:cNvSpPr txBox="1"/>
          </xdr:nvSpPr>
          <xdr:spPr>
            <a:xfrm>
              <a:off x="359835" y="1945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85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B99A89-189F-4E79-96EF-83EB7F33FBD0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3B99A89-189F-4E79-96EF-83EB7F33FBD0}"/>
                </a:ext>
              </a:extLst>
            </xdr:cNvPr>
            <xdr:cNvSpPr txBox="1"/>
          </xdr:nvSpPr>
          <xdr:spPr>
            <a:xfrm>
              <a:off x="359835" y="19681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31842E1-C490-4DA4-869B-51F8FF09E659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31842E1-C490-4DA4-869B-51F8FF09E659}"/>
                </a:ext>
              </a:extLst>
            </xdr:cNvPr>
            <xdr:cNvSpPr txBox="1"/>
          </xdr:nvSpPr>
          <xdr:spPr>
            <a:xfrm>
              <a:off x="359835" y="19902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97B7E8DB-7105-469E-9DAD-B7EBE57BC0DE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97B7E8DB-7105-469E-9DAD-B7EBE57BC0DE}"/>
                </a:ext>
              </a:extLst>
            </xdr:cNvPr>
            <xdr:cNvSpPr txBox="1"/>
          </xdr:nvSpPr>
          <xdr:spPr>
            <a:xfrm>
              <a:off x="359835" y="20131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87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0ABE5E4A-7922-4F3A-8E2E-89B1C996930C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0ABE5E4A-7922-4F3A-8E2E-89B1C996930C}"/>
                </a:ext>
              </a:extLst>
            </xdr:cNvPr>
            <xdr:cNvSpPr txBox="1"/>
          </xdr:nvSpPr>
          <xdr:spPr>
            <a:xfrm>
              <a:off x="359835" y="20367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352215</xdr:colOff>
      <xdr:row>88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B6429C1-3FF1-4BD3-84B7-8C2EB7DC614B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B6429C1-3FF1-4BD3-84B7-8C2EB7DC614B}"/>
                </a:ext>
              </a:extLst>
            </xdr:cNvPr>
            <xdr:cNvSpPr txBox="1"/>
          </xdr:nvSpPr>
          <xdr:spPr>
            <a:xfrm>
              <a:off x="352215" y="20596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91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02429A6-F514-4772-83AA-7F7AE56CF576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02429A6-F514-4772-83AA-7F7AE56CF576}"/>
                </a:ext>
              </a:extLst>
            </xdr:cNvPr>
            <xdr:cNvSpPr txBox="1"/>
          </xdr:nvSpPr>
          <xdr:spPr>
            <a:xfrm>
              <a:off x="359835" y="20816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545BA1A-5BE6-427C-8A94-F0193FEDE54B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545BA1A-5BE6-427C-8A94-F0193FEDE54B}"/>
                </a:ext>
              </a:extLst>
            </xdr:cNvPr>
            <xdr:cNvSpPr txBox="1"/>
          </xdr:nvSpPr>
          <xdr:spPr>
            <a:xfrm>
              <a:off x="359835" y="21045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359835</xdr:colOff>
      <xdr:row>93</xdr:row>
      <xdr:rowOff>22012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D2553D4-4C2D-4EAC-BD93-585D3BE30EC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D2553D4-4C2D-4EAC-BD93-585D3BE30ECB}"/>
                </a:ext>
              </a:extLst>
            </xdr:cNvPr>
            <xdr:cNvSpPr txBox="1"/>
          </xdr:nvSpPr>
          <xdr:spPr>
            <a:xfrm>
              <a:off x="359835" y="21281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325967</xdr:colOff>
      <xdr:row>94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97C6620-87D9-4096-BDAC-BF48E6F5EBBB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597C6620-87D9-4096-BDAC-BF48E6F5EBBB}"/>
                </a:ext>
              </a:extLst>
            </xdr:cNvPr>
            <xdr:cNvSpPr txBox="1"/>
          </xdr:nvSpPr>
          <xdr:spPr>
            <a:xfrm>
              <a:off x="325967" y="215027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263314</xdr:colOff>
      <xdr:row>100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8C05196-104A-411F-9719-7722B39C1930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8C05196-104A-411F-9719-7722B39C1930}"/>
                </a:ext>
              </a:extLst>
            </xdr:cNvPr>
            <xdr:cNvSpPr txBox="1"/>
          </xdr:nvSpPr>
          <xdr:spPr>
            <a:xfrm>
              <a:off x="1279314" y="39039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105</xdr:row>
      <xdr:rowOff>220133</xdr:rowOff>
    </xdr:from>
    <xdr:to>
      <xdr:col>11</xdr:col>
      <xdr:colOff>842435</xdr:colOff>
      <xdr:row>105</xdr:row>
      <xdr:rowOff>220133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C239B77-F151-42F9-A71E-AB7E862756D7}"/>
            </a:ext>
          </a:extLst>
        </xdr:cNvPr>
        <xdr:cNvCxnSpPr/>
      </xdr:nvCxnSpPr>
      <xdr:spPr>
        <a:xfrm>
          <a:off x="9270155" y="5249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103</xdr:row>
      <xdr:rowOff>22860</xdr:rowOff>
    </xdr:from>
    <xdr:to>
      <xdr:col>10</xdr:col>
      <xdr:colOff>480060</xdr:colOff>
      <xdr:row>105</xdr:row>
      <xdr:rowOff>144780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E8A010B5-3985-47A2-BAE1-DEF85856C3F0}"/>
            </a:ext>
          </a:extLst>
        </xdr:cNvPr>
        <xdr:cNvCxnSpPr/>
      </xdr:nvCxnSpPr>
      <xdr:spPr>
        <a:xfrm flipH="1" flipV="1">
          <a:off x="10640060" y="4594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999099</xdr:colOff>
      <xdr:row>97</xdr:row>
      <xdr:rowOff>220132</xdr:rowOff>
    </xdr:from>
    <xdr:to>
      <xdr:col>31</xdr:col>
      <xdr:colOff>16933</xdr:colOff>
      <xdr:row>113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ECC531-4E8D-4400-BC02-0A7C9842F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126155</xdr:colOff>
      <xdr:row>121</xdr:row>
      <xdr:rowOff>220133</xdr:rowOff>
    </xdr:from>
    <xdr:to>
      <xdr:col>11</xdr:col>
      <xdr:colOff>842435</xdr:colOff>
      <xdr:row>121</xdr:row>
      <xdr:rowOff>220133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AED3E8E9-41CA-4507-B053-CE2D560DB7FB}"/>
            </a:ext>
          </a:extLst>
        </xdr:cNvPr>
        <xdr:cNvCxnSpPr/>
      </xdr:nvCxnSpPr>
      <xdr:spPr>
        <a:xfrm>
          <a:off x="9270155" y="242231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119</xdr:row>
      <xdr:rowOff>22860</xdr:rowOff>
    </xdr:from>
    <xdr:to>
      <xdr:col>10</xdr:col>
      <xdr:colOff>480060</xdr:colOff>
      <xdr:row>121</xdr:row>
      <xdr:rowOff>144780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CEFD3023-8D0A-4017-B291-0EDDCAB93A8B}"/>
            </a:ext>
          </a:extLst>
        </xdr:cNvPr>
        <xdr:cNvCxnSpPr/>
      </xdr:nvCxnSpPr>
      <xdr:spPr>
        <a:xfrm flipH="1" flipV="1">
          <a:off x="10640060" y="235686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241301</xdr:colOff>
      <xdr:row>116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4848AA0-07B5-4AD4-B67E-D8EA7D401EB6}"/>
                </a:ext>
              </a:extLst>
            </xdr:cNvPr>
            <xdr:cNvSpPr txBox="1"/>
          </xdr:nvSpPr>
          <xdr:spPr>
            <a:xfrm>
              <a:off x="227330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4848AA0-07B5-4AD4-B67E-D8EA7D401EB6}"/>
                </a:ext>
              </a:extLst>
            </xdr:cNvPr>
            <xdr:cNvSpPr txBox="1"/>
          </xdr:nvSpPr>
          <xdr:spPr>
            <a:xfrm>
              <a:off x="227330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137</xdr:row>
      <xdr:rowOff>220133</xdr:rowOff>
    </xdr:from>
    <xdr:to>
      <xdr:col>11</xdr:col>
      <xdr:colOff>842435</xdr:colOff>
      <xdr:row>137</xdr:row>
      <xdr:rowOff>220133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571D8EF3-10F6-4FC8-BE0B-CA0C0305BD9B}"/>
            </a:ext>
          </a:extLst>
        </xdr:cNvPr>
        <xdr:cNvCxnSpPr/>
      </xdr:nvCxnSpPr>
      <xdr:spPr>
        <a:xfrm>
          <a:off x="9270155" y="278807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135</xdr:row>
      <xdr:rowOff>22860</xdr:rowOff>
    </xdr:from>
    <xdr:to>
      <xdr:col>10</xdr:col>
      <xdr:colOff>480060</xdr:colOff>
      <xdr:row>137</xdr:row>
      <xdr:rowOff>144780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53489C55-0F9F-45BB-8EE3-0FE8CBB3D1B2}"/>
            </a:ext>
          </a:extLst>
        </xdr:cNvPr>
        <xdr:cNvCxnSpPr/>
      </xdr:nvCxnSpPr>
      <xdr:spPr>
        <a:xfrm flipH="1" flipV="1">
          <a:off x="10640060" y="272262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264161</xdr:colOff>
      <xdr:row>132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E4EFF859-270E-447F-946B-35208757BAA0}"/>
                </a:ext>
              </a:extLst>
            </xdr:cNvPr>
            <xdr:cNvSpPr txBox="1"/>
          </xdr:nvSpPr>
          <xdr:spPr>
            <a:xfrm>
              <a:off x="331216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E4EFF859-270E-447F-946B-35208757BAA0}"/>
                </a:ext>
              </a:extLst>
            </xdr:cNvPr>
            <xdr:cNvSpPr txBox="1"/>
          </xdr:nvSpPr>
          <xdr:spPr>
            <a:xfrm>
              <a:off x="3312161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twoCellAnchor>
    <xdr:from>
      <xdr:col>9</xdr:col>
      <xdr:colOff>126155</xdr:colOff>
      <xdr:row>153</xdr:row>
      <xdr:rowOff>220133</xdr:rowOff>
    </xdr:from>
    <xdr:to>
      <xdr:col>11</xdr:col>
      <xdr:colOff>842435</xdr:colOff>
      <xdr:row>153</xdr:row>
      <xdr:rowOff>220133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1FC45DB-6EAD-493F-ABE7-54A4DF8BA277}"/>
            </a:ext>
          </a:extLst>
        </xdr:cNvPr>
        <xdr:cNvCxnSpPr/>
      </xdr:nvCxnSpPr>
      <xdr:spPr>
        <a:xfrm>
          <a:off x="9270155" y="31538333"/>
          <a:ext cx="2748280" cy="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480060</xdr:colOff>
      <xdr:row>151</xdr:row>
      <xdr:rowOff>22860</xdr:rowOff>
    </xdr:from>
    <xdr:to>
      <xdr:col>10</xdr:col>
      <xdr:colOff>480060</xdr:colOff>
      <xdr:row>153</xdr:row>
      <xdr:rowOff>144780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6E51963-DC21-41A4-961C-3C83A927BAEB}"/>
            </a:ext>
          </a:extLst>
        </xdr:cNvPr>
        <xdr:cNvCxnSpPr/>
      </xdr:nvCxnSpPr>
      <xdr:spPr>
        <a:xfrm flipH="1" flipV="1">
          <a:off x="10640060" y="30883860"/>
          <a:ext cx="0" cy="5791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247227</xdr:colOff>
      <xdr:row>148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1CF1642-EB80-467D-82B9-B16594E623AB}"/>
                </a:ext>
              </a:extLst>
            </xdr:cNvPr>
            <xdr:cNvSpPr txBox="1"/>
          </xdr:nvSpPr>
          <xdr:spPr>
            <a:xfrm>
              <a:off x="4311227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1CF1642-EB80-467D-82B9-B16594E623AB}"/>
                </a:ext>
              </a:extLst>
            </xdr:cNvPr>
            <xdr:cNvSpPr txBox="1"/>
          </xdr:nvSpPr>
          <xdr:spPr>
            <a:xfrm>
              <a:off x="4311227" y="192201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271781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8D038C46-2991-44DA-9A28-ADB09A18EBDC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8D038C46-2991-44DA-9A28-ADB09A18EBDC}"/>
                </a:ext>
              </a:extLst>
            </xdr:cNvPr>
            <xdr:cNvSpPr txBox="1"/>
          </xdr:nvSpPr>
          <xdr:spPr>
            <a:xfrm>
              <a:off x="128778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241301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EC9F7B2D-A266-41A3-AA37-5004E619F2BB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EC9F7B2D-A266-41A3-AA37-5004E619F2BB}"/>
                </a:ext>
              </a:extLst>
            </xdr:cNvPr>
            <xdr:cNvSpPr txBox="1"/>
          </xdr:nvSpPr>
          <xdr:spPr>
            <a:xfrm>
              <a:off x="227330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𝒅_𝒊𝟐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264161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6169C8D-9B7B-4CAC-BFA2-B72DD84D25D7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6169C8D-9B7B-4CAC-BFA2-B72DD84D25D7}"/>
                </a:ext>
              </a:extLst>
            </xdr:cNvPr>
            <xdr:cNvSpPr txBox="1"/>
          </xdr:nvSpPr>
          <xdr:spPr>
            <a:xfrm>
              <a:off x="3312161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247227</xdr:colOff>
      <xdr:row>167</xdr:row>
      <xdr:rowOff>17781</xdr:rowOff>
    </xdr:from>
    <xdr:ext cx="53309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B07ACBB1-0EF7-4993-820C-928B151FA685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B07ACBB1-0EF7-4993-820C-928B151FA685}"/>
                </a:ext>
              </a:extLst>
            </xdr:cNvPr>
            <xdr:cNvSpPr txBox="1"/>
          </xdr:nvSpPr>
          <xdr:spPr>
            <a:xfrm>
              <a:off x="4311227" y="246381"/>
              <a:ext cx="53309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𝒅_𝒊𝟒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127001</xdr:colOff>
      <xdr:row>2</xdr:row>
      <xdr:rowOff>71966</xdr:rowOff>
    </xdr:from>
    <xdr:ext cx="1759777" cy="5595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0672400-C391-4A0F-B85D-9562CAEA4893}"/>
                </a:ext>
              </a:extLst>
            </xdr:cNvPr>
            <xdr:cNvSpPr txBox="1"/>
          </xdr:nvSpPr>
          <xdr:spPr>
            <a:xfrm>
              <a:off x="21463001" y="757766"/>
              <a:ext cx="1759777" cy="559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𝒊𝒇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𝒅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𝒊𝒑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𝒃</m:t>
                            </m:r>
                          </m:e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𝒊𝒇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𝒅</m:t>
                                </m:r>
                              </m:e>
                              <m:sub>
                                <m:r>
                                  <a:rPr lang="en-US" sz="1400" b="1" i="1">
                                    <a:latin typeface="Cambria Math" panose="02040503050406030204" pitchFamily="18" charset="0"/>
                                  </a:rPr>
                                  <m:t>𝒊𝒑</m:t>
                                </m:r>
                              </m:sub>
                            </m:sSub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𝒃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0672400-C391-4A0F-B85D-9562CAEA4893}"/>
                </a:ext>
              </a:extLst>
            </xdr:cNvPr>
            <xdr:cNvSpPr txBox="1"/>
          </xdr:nvSpPr>
          <xdr:spPr>
            <a:xfrm>
              <a:off x="21463001" y="757766"/>
              <a:ext cx="1759777" cy="559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𝒚 ̂={█(𝟏,  𝒊𝒇 𝒅_𝒊𝒑&gt;𝒃@𝟐,  𝒊𝒇 𝒅_𝒊𝒑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≤𝒃)┤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33876</xdr:colOff>
      <xdr:row>2</xdr:row>
      <xdr:rowOff>38100</xdr:rowOff>
    </xdr:from>
    <xdr:ext cx="269650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E3E0CF-6E59-4857-842E-6D82DB746B90}"/>
                </a:ext>
              </a:extLst>
            </xdr:cNvPr>
            <xdr:cNvSpPr txBox="1"/>
          </xdr:nvSpPr>
          <xdr:spPr>
            <a:xfrm>
              <a:off x="24417876" y="495300"/>
              <a:ext cx="26965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𝒇</m:t>
                    </m:r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d>
                    <m:r>
                      <a:rPr lang="en-US" sz="1400" b="1" i="1">
                        <a:latin typeface="Cambria Math" panose="02040503050406030204" pitchFamily="18" charset="0"/>
                      </a:rPr>
                      <m:t>,  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E3E0CF-6E59-4857-842E-6D82DB746B90}"/>
                </a:ext>
              </a:extLst>
            </xdr:cNvPr>
            <xdr:cNvSpPr txBox="1"/>
          </xdr:nvSpPr>
          <xdr:spPr>
            <a:xfrm>
              <a:off x="24417876" y="495300"/>
              <a:ext cx="269650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𝒎_𝒊=𝒚_𝒊∗𝒇(𝒙_𝒊 ),  𝒚_𝒊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∈{−𝟏,+𝟏}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618073</xdr:colOff>
      <xdr:row>3</xdr:row>
      <xdr:rowOff>105833</xdr:rowOff>
    </xdr:from>
    <xdr:ext cx="178382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D42450B-D15F-4AFB-88FE-BFF23C04A3EF}"/>
                </a:ext>
              </a:extLst>
            </xdr:cNvPr>
            <xdr:cNvSpPr txBox="1"/>
          </xdr:nvSpPr>
          <xdr:spPr>
            <a:xfrm>
              <a:off x="25002073" y="791633"/>
              <a:ext cx="1783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𝒕𝒓𝒖𝒆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𝒄𝒍𝒂𝒔𝒔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𝒍𝒂𝒃𝒆𝒍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D42450B-D15F-4AFB-88FE-BFF23C04A3EF}"/>
                </a:ext>
              </a:extLst>
            </xdr:cNvPr>
            <xdr:cNvSpPr txBox="1"/>
          </xdr:nvSpPr>
          <xdr:spPr>
            <a:xfrm>
              <a:off x="25002073" y="791633"/>
              <a:ext cx="1783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400" b="1" i="0">
                  <a:latin typeface="Cambria Math" panose="02040503050406030204" pitchFamily="18" charset="0"/>
                </a:rPr>
                <a:t>𝒚_𝒊−𝒕𝒓𝒖𝒆 𝒄𝒍𝒂𝒔𝒔 𝒍𝒂𝒃𝒆𝒍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8447</xdr:colOff>
      <xdr:row>4</xdr:row>
      <xdr:rowOff>182032</xdr:rowOff>
    </xdr:from>
    <xdr:ext cx="5015476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4F2A5DE-C8DC-4C99-9491-7A4925833A29}"/>
                </a:ext>
              </a:extLst>
            </xdr:cNvPr>
            <xdr:cNvSpPr txBox="1"/>
          </xdr:nvSpPr>
          <xdr:spPr>
            <a:xfrm>
              <a:off x="23376447" y="1096432"/>
              <a:ext cx="50154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𝒇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e>
                          <m:sub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d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𝐜𝐥𝐚𝐬𝐬𝐢𝐟𝐢𝐞𝐫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𝐨𝐮𝐭𝐩𝐮𝐭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𝐝𝐢𝐬𝐭𝐚𝐧𝐜𝐞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𝐟𝐫𝐨𝐦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𝐝𝐞𝐜𝐢𝐬𝐢𝐨𝐧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𝐛𝐨𝐮𝐧𝐝𝐚𝐫𝐲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400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4F2A5DE-C8DC-4C99-9491-7A4925833A29}"/>
                </a:ext>
              </a:extLst>
            </xdr:cNvPr>
            <xdr:cNvSpPr txBox="1"/>
          </xdr:nvSpPr>
          <xdr:spPr>
            <a:xfrm>
              <a:off x="23376447" y="1096432"/>
              <a:ext cx="50154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𝒇(𝒙_𝒊 )−𝐜𝐥𝐚𝐬𝐬𝐢𝐟𝐢𝐞𝐫 𝐨𝐮𝐭𝐩𝐮𝐭(𝐝𝐢𝐬𝐭𝐚𝐧𝐜𝐞 𝐟𝐫𝐨𝐦 𝐝𝐞𝐜𝐢𝐬𝐢𝐨𝐧 𝐛𝐨𝐮𝐧𝐝𝐚𝐫𝐲)</a:t>
              </a:r>
              <a:endParaRPr lang="en-US" sz="1400">
                <a:effectLst/>
              </a:endParaRPr>
            </a:p>
          </xdr:txBody>
        </xdr:sp>
      </mc:Fallback>
    </mc:AlternateContent>
    <xdr:clientData/>
  </xdr:oneCellAnchor>
  <xdr:oneCellAnchor>
    <xdr:from>
      <xdr:col>23</xdr:col>
      <xdr:colOff>33876</xdr:colOff>
      <xdr:row>8</xdr:row>
      <xdr:rowOff>38100</xdr:rowOff>
    </xdr:from>
    <xdr:ext cx="1299778" cy="2350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FED8A413-3A3C-45C7-88A2-62C6A808E104}"/>
                </a:ext>
              </a:extLst>
            </xdr:cNvPr>
            <xdr:cNvSpPr txBox="1"/>
          </xdr:nvSpPr>
          <xdr:spPr>
            <a:xfrm>
              <a:off x="24417876" y="1866900"/>
              <a:ext cx="1299778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𝒇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)=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𝒃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FED8A413-3A3C-45C7-88A2-62C6A808E104}"/>
                </a:ext>
              </a:extLst>
            </xdr:cNvPr>
            <xdr:cNvSpPr txBox="1"/>
          </xdr:nvSpPr>
          <xdr:spPr>
            <a:xfrm>
              <a:off x="24417876" y="1866900"/>
              <a:ext cx="1299778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〖𝒇(𝒙〗_𝒊)=𝒅_𝒊𝒑−𝒃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59273</xdr:colOff>
      <xdr:row>9</xdr:row>
      <xdr:rowOff>97366</xdr:rowOff>
    </xdr:from>
    <xdr:ext cx="1744645" cy="2350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ED41136-0C2E-479B-8D9B-BAA35103529B}"/>
                </a:ext>
              </a:extLst>
            </xdr:cNvPr>
            <xdr:cNvSpPr txBox="1"/>
          </xdr:nvSpPr>
          <xdr:spPr>
            <a:xfrm>
              <a:off x="24443273" y="2154766"/>
              <a:ext cx="1744645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𝒊𝒑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𝒇𝒆𝒂𝒕𝒖𝒓𝒆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𝒗𝒂𝒍𝒖𝒆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ED41136-0C2E-479B-8D9B-BAA35103529B}"/>
                </a:ext>
              </a:extLst>
            </xdr:cNvPr>
            <xdr:cNvSpPr txBox="1"/>
          </xdr:nvSpPr>
          <xdr:spPr>
            <a:xfrm>
              <a:off x="24443273" y="2154766"/>
              <a:ext cx="1744645" cy="235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400" b="1" i="0">
                  <a:latin typeface="Cambria Math" panose="02040503050406030204" pitchFamily="18" charset="0"/>
                </a:rPr>
                <a:t>𝒅_𝒊𝒑−𝒇𝒆𝒂𝒕𝒖𝒓𝒆 𝒗𝒂𝒍𝒖𝒆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23</xdr:col>
      <xdr:colOff>59278</xdr:colOff>
      <xdr:row>10</xdr:row>
      <xdr:rowOff>122765</xdr:rowOff>
    </xdr:from>
    <xdr:ext cx="19418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DF80AD-761F-45DE-8C0B-22AA77F23F44}"/>
                </a:ext>
              </a:extLst>
            </xdr:cNvPr>
            <xdr:cNvSpPr txBox="1"/>
          </xdr:nvSpPr>
          <xdr:spPr>
            <a:xfrm>
              <a:off x="24443278" y="2408765"/>
              <a:ext cx="19418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𝐝𝐞𝐜𝐢𝐬𝐢𝐨𝐧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𝐛𝐨𝐮𝐧𝐝𝐚𝐫𝐲</m:t>
                    </m:r>
                  </m:oMath>
                </m:oMathPara>
              </a14:m>
              <a:endParaRPr lang="en-US" sz="1400">
                <a:effectLst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DF80AD-761F-45DE-8C0B-22AA77F23F44}"/>
                </a:ext>
              </a:extLst>
            </xdr:cNvPr>
            <xdr:cNvSpPr txBox="1"/>
          </xdr:nvSpPr>
          <xdr:spPr>
            <a:xfrm>
              <a:off x="24443278" y="2408765"/>
              <a:ext cx="19418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𝐛−𝐝𝐞𝐜𝐢𝐬𝐢𝐨𝐧 𝐛𝐨𝐮𝐧𝐝𝐚𝐫𝐲</a:t>
              </a:r>
              <a:endParaRPr lang="en-US" sz="1400">
                <a:effectLst/>
              </a:endParaRPr>
            </a:p>
          </xdr:txBody>
        </xdr:sp>
      </mc:Fallback>
    </mc:AlternateContent>
    <xdr:clientData/>
  </xdr:oneCellAnchor>
  <xdr:oneCellAnchor>
    <xdr:from>
      <xdr:col>23</xdr:col>
      <xdr:colOff>84667</xdr:colOff>
      <xdr:row>11</xdr:row>
      <xdr:rowOff>156632</xdr:rowOff>
    </xdr:from>
    <xdr:ext cx="3763466" cy="2501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311467-DE68-4C1D-A631-9BDE3BFE1C14}"/>
                </a:ext>
              </a:extLst>
            </xdr:cNvPr>
            <xdr:cNvSpPr txBox="1"/>
          </xdr:nvSpPr>
          <xdr:spPr>
            <a:xfrm>
              <a:off x="24468667" y="2671232"/>
              <a:ext cx="3763466" cy="250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So</a:t>
              </a:r>
              <a:r>
                <a:rPr lang="en-US" sz="1400" b="1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the Margin becomes    </a:t>
              </a:r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⇒   </m:t>
                  </m:r>
                  <m:sSub>
                    <m:sSub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𝒎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𝒚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𝒊</m:t>
                      </m:r>
                    </m:sub>
                  </m:sSub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d>
                    <m:d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𝒅</m:t>
                          </m:r>
                        </m:e>
                        <m:sub>
                          <m:r>
                            <a:rPr lang="en-US" sz="14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𝒊𝒑</m:t>
                          </m:r>
                        </m:sub>
                      </m:s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𝒃</m:t>
                      </m:r>
                    </m:e>
                  </m:d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A311467-DE68-4C1D-A631-9BDE3BFE1C14}"/>
                </a:ext>
              </a:extLst>
            </xdr:cNvPr>
            <xdr:cNvSpPr txBox="1"/>
          </xdr:nvSpPr>
          <xdr:spPr>
            <a:xfrm>
              <a:off x="24468667" y="2671232"/>
              <a:ext cx="3763466" cy="2501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So</a:t>
              </a:r>
              <a:r>
                <a:rPr lang="en-US" sz="1400" b="1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the Margin becomes    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⇒   𝒎_𝒊=𝒚_𝒊∗(𝒅_𝒊𝒑−𝒃)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18</xdr:col>
      <xdr:colOff>423333</xdr:colOff>
      <xdr:row>16</xdr:row>
      <xdr:rowOff>224366</xdr:rowOff>
    </xdr:from>
    <xdr:ext cx="14786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8154D9C-528C-4164-91ED-D86C9AC07BB7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8154D9C-528C-4164-91ED-D86C9AC07BB7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𝒚 ̂</a:t>
              </a:r>
              <a:endParaRPr lang="en-US" sz="1400" b="1"/>
            </a:p>
          </xdr:txBody>
        </xdr:sp>
      </mc:Fallback>
    </mc:AlternateContent>
    <xdr:clientData/>
  </xdr:oneCellAnchor>
  <xdr:twoCellAnchor>
    <xdr:from>
      <xdr:col>19</xdr:col>
      <xdr:colOff>1007533</xdr:colOff>
      <xdr:row>14</xdr:row>
      <xdr:rowOff>211666</xdr:rowOff>
    </xdr:from>
    <xdr:to>
      <xdr:col>25</xdr:col>
      <xdr:colOff>8467</xdr:colOff>
      <xdr:row>29</xdr:row>
      <xdr:rowOff>228599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56ADA79-0178-4CDD-ADB8-4009C5936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423333</xdr:colOff>
      <xdr:row>99</xdr:row>
      <xdr:rowOff>224366</xdr:rowOff>
    </xdr:from>
    <xdr:ext cx="14786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CC16FC-10BF-4F94-8DE3-E390176D6EBA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CC16FC-10BF-4F94-8DE3-E390176D6EBA}"/>
                </a:ext>
              </a:extLst>
            </xdr:cNvPr>
            <xdr:cNvSpPr txBox="1"/>
          </xdr:nvSpPr>
          <xdr:spPr>
            <a:xfrm>
              <a:off x="18711333" y="3881966"/>
              <a:ext cx="14786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𝒚 ̂</a:t>
              </a:r>
              <a:endParaRPr lang="en-US" sz="1400" b="1"/>
            </a:p>
          </xdr:txBody>
        </xdr:sp>
      </mc:Fallback>
    </mc:AlternateContent>
    <xdr:clientData/>
  </xdr:oneCellAnchor>
  <xdr:twoCellAnchor>
    <xdr:from>
      <xdr:col>20</xdr:col>
      <xdr:colOff>8467</xdr:colOff>
      <xdr:row>98</xdr:row>
      <xdr:rowOff>0</xdr:rowOff>
    </xdr:from>
    <xdr:to>
      <xdr:col>24</xdr:col>
      <xdr:colOff>1007533</xdr:colOff>
      <xdr:row>113</xdr:row>
      <xdr:rowOff>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2A4E907-2C36-422B-B079-9DAD393E4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0.39924</cdr:x>
      <cdr:y>0.04338</cdr:y>
    </cdr:from>
    <cdr:to>
      <cdr:x>0.51189</cdr:x>
      <cdr:y>0.10809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cdr:cNvPr>
            <cdr:cNvSpPr txBox="1"/>
          </cdr:nvSpPr>
          <cdr:spPr>
            <a:xfrm xmlns:a="http://schemas.openxmlformats.org/drawingml/2006/main">
              <a:off x="2031481" y="148360"/>
              <a:ext cx="573210" cy="2212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cdr:txBody>
        </cdr:sp>
      </mc:Choice>
      <mc:Fallback xmlns="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1DE746DA-CF39-4C8F-BE19-B7E7E299C573}"/>
                </a:ext>
              </a:extLst>
            </cdr:cNvPr>
            <cdr:cNvSpPr txBox="1"/>
          </cdr:nvSpPr>
          <cdr:spPr>
            <a:xfrm xmlns:a="http://schemas.openxmlformats.org/drawingml/2006/main">
              <a:off x="2031481" y="148360"/>
              <a:ext cx="573210" cy="22128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cdr:txBody>
        </cdr:sp>
      </mc:Fallback>
    </mc:AlternateContent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0.33607</cdr:x>
      <cdr:y>0.03439</cdr:y>
    </cdr:from>
    <cdr:to>
      <cdr:x>0.44687</cdr:x>
      <cdr:y>0.09926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EADE0D24-EDD9-42F6-81C5-34E21C3554AA}"/>
                </a:ext>
              </a:extLst>
            </cdr:cNvPr>
            <cdr:cNvSpPr txBox="1"/>
          </cdr:nvSpPr>
          <cdr:spPr>
            <a:xfrm xmlns:a="http://schemas.openxmlformats.org/drawingml/2006/main">
              <a:off x="2082799" y="110066"/>
              <a:ext cx="686710" cy="207591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cdr:txBody>
        </cdr:sp>
      </mc:Choice>
      <mc:Fallback xmlns="">
        <cdr:sp macro="" textlink="">
          <cdr:nvSpPr>
            <cdr:cNvPr id="2" name="TextBox 63">
              <a:extLst xmlns:a="http://schemas.openxmlformats.org/drawingml/2006/main">
                <a:ext uri="{FF2B5EF4-FFF2-40B4-BE49-F238E27FC236}">
                  <a16:creationId xmlns:a16="http://schemas.microsoft.com/office/drawing/2014/main" id="{EADE0D24-EDD9-42F6-81C5-34E21C3554AA}"/>
                </a:ext>
              </a:extLst>
            </cdr:cNvPr>
            <cdr:cNvSpPr txBox="1"/>
          </cdr:nvSpPr>
          <cdr:spPr>
            <a:xfrm xmlns:a="http://schemas.openxmlformats.org/drawingml/2006/main">
              <a:off x="2082799" y="110066"/>
              <a:ext cx="686710" cy="207591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200" b="1" i="0">
                  <a:latin typeface="Cambria Math" panose="02040503050406030204" pitchFamily="18" charset="0"/>
                </a:rPr>
                <a:t>𝒅_𝒊𝟏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cdr:txBody>
        </cdr:sp>
      </mc:Fallback>
    </mc:AlternateContent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169312</xdr:colOff>
      <xdr:row>1</xdr:row>
      <xdr:rowOff>131226</xdr:rowOff>
    </xdr:from>
    <xdr:ext cx="2710742" cy="4069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33587-B389-4E23-9554-13BF39D346E1}"/>
                </a:ext>
              </a:extLst>
            </xdr:cNvPr>
            <xdr:cNvSpPr txBox="1"/>
          </xdr:nvSpPr>
          <xdr:spPr>
            <a:xfrm>
              <a:off x="20438512" y="1960026"/>
              <a:ext cx="2710742" cy="406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𝑨𝒄𝒄𝒖𝒓𝒂𝒄𝒚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𝑻𝑵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𝑻𝑵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𝑭𝑷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𝑭𝑵</m:t>
                        </m:r>
                      </m:den>
                    </m:f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33587-B389-4E23-9554-13BF39D346E1}"/>
                </a:ext>
              </a:extLst>
            </xdr:cNvPr>
            <xdr:cNvSpPr txBox="1"/>
          </xdr:nvSpPr>
          <xdr:spPr>
            <a:xfrm>
              <a:off x="20438512" y="1960026"/>
              <a:ext cx="2710742" cy="406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𝑨𝒄𝒄𝒖𝒓𝒂𝒄𝒚=(𝑻𝑷+𝑻𝑵)/(𝑻𝑷+𝑻𝑵+𝑭𝑷+𝑭𝑵)</a:t>
              </a:r>
              <a:endParaRPr lang="en-US" sz="14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Normal="100" workbookViewId="0">
      <selection activeCell="I17" sqref="I17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131" t="s">
        <v>13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5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 t="s">
        <v>8</v>
      </c>
      <c r="Q2" s="17" t="s">
        <v>12</v>
      </c>
      <c r="R2" s="18"/>
      <c r="S2" s="4"/>
      <c r="T2" s="4"/>
      <c r="Y2" s="1"/>
    </row>
    <row r="3" spans="1:25" ht="15.6" x14ac:dyDescent="0.3">
      <c r="A3" s="12"/>
      <c r="B3" s="13">
        <v>70</v>
      </c>
      <c r="C3" s="14">
        <v>1</v>
      </c>
      <c r="D3" s="14">
        <v>4</v>
      </c>
      <c r="E3" s="13">
        <v>130</v>
      </c>
      <c r="F3" s="13">
        <v>322</v>
      </c>
      <c r="G3" s="14">
        <v>0</v>
      </c>
      <c r="H3" s="14">
        <v>2</v>
      </c>
      <c r="I3" s="13">
        <v>109</v>
      </c>
      <c r="J3" s="14">
        <v>0</v>
      </c>
      <c r="K3" s="13">
        <v>2.4</v>
      </c>
      <c r="L3" s="14">
        <v>2</v>
      </c>
      <c r="M3" s="13">
        <v>3</v>
      </c>
      <c r="N3" s="14">
        <v>3</v>
      </c>
      <c r="O3" s="15">
        <v>2</v>
      </c>
      <c r="Q3" s="17" t="s">
        <v>9</v>
      </c>
      <c r="R3" s="4"/>
      <c r="S3" s="4"/>
      <c r="T3" s="4"/>
    </row>
    <row r="4" spans="1:25" ht="15.6" x14ac:dyDescent="0.3">
      <c r="A4" s="12"/>
      <c r="B4" s="13">
        <v>67</v>
      </c>
      <c r="C4" s="14">
        <v>0</v>
      </c>
      <c r="D4" s="14">
        <v>3</v>
      </c>
      <c r="E4" s="13">
        <v>115</v>
      </c>
      <c r="F4" s="13">
        <v>564</v>
      </c>
      <c r="G4" s="14">
        <v>0</v>
      </c>
      <c r="H4" s="14">
        <v>2</v>
      </c>
      <c r="I4" s="13">
        <v>160</v>
      </c>
      <c r="J4" s="14">
        <v>0</v>
      </c>
      <c r="K4" s="13">
        <v>1.6</v>
      </c>
      <c r="L4" s="14">
        <v>2</v>
      </c>
      <c r="M4" s="13">
        <v>0</v>
      </c>
      <c r="N4" s="14">
        <v>7</v>
      </c>
      <c r="O4" s="15">
        <v>1</v>
      </c>
      <c r="Q4" s="4"/>
      <c r="R4" s="4"/>
      <c r="S4" s="4"/>
      <c r="T4" s="4"/>
    </row>
    <row r="5" spans="1:25" ht="15.6" x14ac:dyDescent="0.3">
      <c r="A5" s="12"/>
      <c r="B5" s="13">
        <v>57</v>
      </c>
      <c r="C5" s="14">
        <v>1</v>
      </c>
      <c r="D5" s="14">
        <v>2</v>
      </c>
      <c r="E5" s="13">
        <v>124</v>
      </c>
      <c r="F5" s="13">
        <v>261</v>
      </c>
      <c r="G5" s="14">
        <v>0</v>
      </c>
      <c r="H5" s="14">
        <v>0</v>
      </c>
      <c r="I5" s="13">
        <v>141</v>
      </c>
      <c r="J5" s="14">
        <v>0</v>
      </c>
      <c r="K5" s="13">
        <v>0.3</v>
      </c>
      <c r="L5" s="14">
        <v>1</v>
      </c>
      <c r="M5" s="13">
        <v>0</v>
      </c>
      <c r="N5" s="14">
        <v>7</v>
      </c>
      <c r="O5" s="15">
        <v>2</v>
      </c>
      <c r="Q5" s="132" t="s">
        <v>16</v>
      </c>
      <c r="R5" s="132"/>
      <c r="S5" s="132"/>
      <c r="T5" s="19">
        <v>1</v>
      </c>
    </row>
    <row r="6" spans="1:25" ht="15.6" x14ac:dyDescent="0.3">
      <c r="A6" s="12"/>
      <c r="B6" s="13">
        <v>64</v>
      </c>
      <c r="C6" s="14">
        <v>1</v>
      </c>
      <c r="D6" s="14">
        <v>4</v>
      </c>
      <c r="E6" s="13">
        <v>128</v>
      </c>
      <c r="F6" s="13">
        <v>263</v>
      </c>
      <c r="G6" s="14">
        <v>0</v>
      </c>
      <c r="H6" s="14">
        <v>0</v>
      </c>
      <c r="I6" s="13">
        <v>105</v>
      </c>
      <c r="J6" s="14">
        <v>1</v>
      </c>
      <c r="K6" s="13">
        <v>0.2</v>
      </c>
      <c r="L6" s="14">
        <v>2</v>
      </c>
      <c r="M6" s="13">
        <v>1</v>
      </c>
      <c r="N6" s="14">
        <v>7</v>
      </c>
      <c r="O6" s="15">
        <v>1</v>
      </c>
      <c r="Q6" s="132" t="s">
        <v>17</v>
      </c>
      <c r="R6" s="132"/>
      <c r="S6" s="132"/>
      <c r="T6" s="20">
        <v>0</v>
      </c>
    </row>
    <row r="7" spans="1:25" ht="15.6" x14ac:dyDescent="0.3">
      <c r="A7" s="12"/>
      <c r="B7" s="13">
        <v>74</v>
      </c>
      <c r="C7" s="14">
        <v>0</v>
      </c>
      <c r="D7" s="14">
        <v>2</v>
      </c>
      <c r="E7" s="13">
        <v>120</v>
      </c>
      <c r="F7" s="13">
        <v>269</v>
      </c>
      <c r="G7" s="14">
        <v>0</v>
      </c>
      <c r="H7" s="14">
        <v>2</v>
      </c>
      <c r="I7" s="13">
        <v>121</v>
      </c>
      <c r="J7" s="14">
        <v>1</v>
      </c>
      <c r="K7" s="13">
        <v>0.2</v>
      </c>
      <c r="L7" s="14">
        <v>1</v>
      </c>
      <c r="M7" s="13">
        <v>1</v>
      </c>
      <c r="N7" s="14">
        <v>3</v>
      </c>
      <c r="O7" s="15">
        <v>1</v>
      </c>
    </row>
    <row r="8" spans="1:25" ht="15.6" x14ac:dyDescent="0.3">
      <c r="A8" s="12"/>
      <c r="B8" s="13">
        <v>65</v>
      </c>
      <c r="C8" s="14">
        <v>1</v>
      </c>
      <c r="D8" s="14">
        <v>4</v>
      </c>
      <c r="E8" s="13">
        <v>120</v>
      </c>
      <c r="F8" s="13">
        <v>177</v>
      </c>
      <c r="G8" s="14">
        <v>0</v>
      </c>
      <c r="H8" s="14">
        <v>0</v>
      </c>
      <c r="I8" s="13">
        <v>140</v>
      </c>
      <c r="J8" s="14">
        <v>0</v>
      </c>
      <c r="K8" s="13">
        <v>0.4</v>
      </c>
      <c r="L8" s="14">
        <v>1</v>
      </c>
      <c r="M8" s="13">
        <v>0</v>
      </c>
      <c r="N8" s="14">
        <v>7</v>
      </c>
      <c r="O8" s="15">
        <v>1</v>
      </c>
    </row>
    <row r="9" spans="1:25" ht="15.6" x14ac:dyDescent="0.3">
      <c r="A9" s="12"/>
      <c r="B9" s="13">
        <v>56</v>
      </c>
      <c r="C9" s="14">
        <v>1</v>
      </c>
      <c r="D9" s="14">
        <v>3</v>
      </c>
      <c r="E9" s="13">
        <v>130</v>
      </c>
      <c r="F9" s="13">
        <v>256</v>
      </c>
      <c r="G9" s="14">
        <v>1</v>
      </c>
      <c r="H9" s="14">
        <v>2</v>
      </c>
      <c r="I9" s="13">
        <v>142</v>
      </c>
      <c r="J9" s="14">
        <v>1</v>
      </c>
      <c r="K9" s="13">
        <v>0.6</v>
      </c>
      <c r="L9" s="14">
        <v>2</v>
      </c>
      <c r="M9" s="13">
        <v>1</v>
      </c>
      <c r="N9" s="14">
        <v>6</v>
      </c>
      <c r="O9" s="15">
        <v>2</v>
      </c>
    </row>
    <row r="10" spans="1:25" ht="15.6" x14ac:dyDescent="0.3">
      <c r="A10" s="12"/>
      <c r="B10" s="13">
        <v>59</v>
      </c>
      <c r="C10" s="14">
        <v>1</v>
      </c>
      <c r="D10" s="14">
        <v>4</v>
      </c>
      <c r="E10" s="13">
        <v>110</v>
      </c>
      <c r="F10" s="13">
        <v>239</v>
      </c>
      <c r="G10" s="14">
        <v>0</v>
      </c>
      <c r="H10" s="14">
        <v>2</v>
      </c>
      <c r="I10" s="13">
        <v>142</v>
      </c>
      <c r="J10" s="14">
        <v>1</v>
      </c>
      <c r="K10" s="13">
        <v>1.2</v>
      </c>
      <c r="L10" s="14">
        <v>2</v>
      </c>
      <c r="M10" s="13">
        <v>1</v>
      </c>
      <c r="N10" s="14">
        <v>7</v>
      </c>
      <c r="O10" s="15">
        <v>2</v>
      </c>
    </row>
    <row r="11" spans="1:25" ht="15.6" x14ac:dyDescent="0.3">
      <c r="A11" s="12"/>
      <c r="B11" s="13">
        <v>60</v>
      </c>
      <c r="C11" s="14">
        <v>1</v>
      </c>
      <c r="D11" s="14">
        <v>4</v>
      </c>
      <c r="E11" s="13">
        <v>140</v>
      </c>
      <c r="F11" s="13">
        <v>293</v>
      </c>
      <c r="G11" s="14">
        <v>0</v>
      </c>
      <c r="H11" s="14">
        <v>2</v>
      </c>
      <c r="I11" s="13">
        <v>170</v>
      </c>
      <c r="J11" s="14">
        <v>0</v>
      </c>
      <c r="K11" s="13">
        <v>1.2</v>
      </c>
      <c r="L11" s="14">
        <v>2</v>
      </c>
      <c r="M11" s="13">
        <v>2</v>
      </c>
      <c r="N11" s="14">
        <v>7</v>
      </c>
      <c r="O11" s="15">
        <v>2</v>
      </c>
    </row>
    <row r="12" spans="1:25" ht="15.6" x14ac:dyDescent="0.3">
      <c r="A12" s="12"/>
      <c r="B12" s="13">
        <v>63</v>
      </c>
      <c r="C12" s="14">
        <v>0</v>
      </c>
      <c r="D12" s="14">
        <v>4</v>
      </c>
      <c r="E12" s="13">
        <v>150</v>
      </c>
      <c r="F12" s="13">
        <v>407</v>
      </c>
      <c r="G12" s="14">
        <v>0</v>
      </c>
      <c r="H12" s="14">
        <v>2</v>
      </c>
      <c r="I12" s="13">
        <v>154</v>
      </c>
      <c r="J12" s="14">
        <v>0</v>
      </c>
      <c r="K12" s="13">
        <v>4</v>
      </c>
      <c r="L12" s="14">
        <v>2</v>
      </c>
      <c r="M12" s="13">
        <v>3</v>
      </c>
      <c r="N12" s="14">
        <v>7</v>
      </c>
      <c r="O12" s="15">
        <v>2</v>
      </c>
    </row>
    <row r="13" spans="1:25" ht="15.6" x14ac:dyDescent="0.3">
      <c r="A13" s="4"/>
      <c r="B13" s="16">
        <v>1</v>
      </c>
      <c r="C13" s="16">
        <v>0</v>
      </c>
      <c r="D13" s="16">
        <v>0</v>
      </c>
      <c r="E13" s="16">
        <v>1</v>
      </c>
      <c r="F13" s="16">
        <v>1</v>
      </c>
      <c r="G13" s="16">
        <v>0</v>
      </c>
      <c r="H13" s="16">
        <v>0</v>
      </c>
      <c r="I13" s="16">
        <v>1</v>
      </c>
      <c r="J13" s="16">
        <v>0</v>
      </c>
      <c r="K13" s="16">
        <v>1</v>
      </c>
      <c r="L13" s="16">
        <v>0</v>
      </c>
      <c r="M13" s="16">
        <v>1</v>
      </c>
      <c r="N13" s="16">
        <v>0</v>
      </c>
      <c r="O13" s="4"/>
    </row>
    <row r="17" spans="1:19" ht="15.6" x14ac:dyDescent="0.3">
      <c r="A17" s="4"/>
      <c r="B17" s="132" t="s">
        <v>14</v>
      </c>
      <c r="C17" s="132"/>
      <c r="D17" s="132"/>
      <c r="E17" s="132"/>
      <c r="F17" s="19">
        <v>6</v>
      </c>
      <c r="G17" s="4"/>
      <c r="H17" s="4"/>
      <c r="I17" s="4"/>
      <c r="J17" s="4"/>
      <c r="K17" s="4"/>
      <c r="L17" s="133" t="s">
        <v>15</v>
      </c>
      <c r="M17" s="133"/>
      <c r="N17" s="133"/>
      <c r="O17" s="133"/>
      <c r="P17" s="20">
        <v>7</v>
      </c>
      <c r="Q17" s="4"/>
      <c r="R17" s="4"/>
      <c r="S17" s="4"/>
    </row>
    <row r="18" spans="1:19" ht="15.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6" x14ac:dyDescent="0.3">
      <c r="A19" s="134" t="s">
        <v>11</v>
      </c>
      <c r="B19" s="134"/>
      <c r="C19" s="134"/>
      <c r="D19" s="134"/>
      <c r="E19" s="134"/>
      <c r="F19" s="134"/>
      <c r="G19" s="134"/>
      <c r="H19" s="134"/>
      <c r="I19" s="4"/>
      <c r="J19" s="4"/>
      <c r="K19" s="135" t="s">
        <v>10</v>
      </c>
      <c r="L19" s="135"/>
      <c r="M19" s="135"/>
      <c r="N19" s="135"/>
      <c r="O19" s="135"/>
      <c r="P19" s="135"/>
      <c r="Q19" s="135"/>
      <c r="R19" s="135"/>
      <c r="S19" s="135"/>
    </row>
    <row r="20" spans="1:19" ht="15.6" x14ac:dyDescent="0.3">
      <c r="A20" s="10" t="s">
        <v>5</v>
      </c>
      <c r="B20" s="21"/>
      <c r="C20" s="21"/>
      <c r="D20" s="21"/>
      <c r="E20" s="21"/>
      <c r="F20" s="21"/>
      <c r="G20" s="21"/>
      <c r="H20" s="22" t="s">
        <v>8</v>
      </c>
      <c r="I20" s="4"/>
      <c r="J20" s="4"/>
      <c r="K20" s="10" t="s">
        <v>5</v>
      </c>
      <c r="L20" s="21"/>
      <c r="M20" s="21"/>
      <c r="N20" s="21"/>
      <c r="O20" s="21"/>
      <c r="P20" s="21"/>
      <c r="Q20" s="21"/>
      <c r="R20" s="21"/>
      <c r="S20" s="12" t="s">
        <v>8</v>
      </c>
    </row>
    <row r="21" spans="1:19" ht="15.6" x14ac:dyDescent="0.3">
      <c r="A21" s="12"/>
      <c r="B21" s="13">
        <v>70</v>
      </c>
      <c r="C21" s="13">
        <v>130</v>
      </c>
      <c r="D21" s="13">
        <v>322</v>
      </c>
      <c r="E21" s="13">
        <v>109</v>
      </c>
      <c r="F21" s="13">
        <v>2.4</v>
      </c>
      <c r="G21" s="13">
        <v>3</v>
      </c>
      <c r="H21" s="15">
        <v>2</v>
      </c>
      <c r="I21" s="4"/>
      <c r="J21" s="4"/>
      <c r="K21" s="12"/>
      <c r="L21" s="14">
        <v>1</v>
      </c>
      <c r="M21" s="14">
        <v>4</v>
      </c>
      <c r="N21" s="14">
        <v>0</v>
      </c>
      <c r="O21" s="14">
        <v>2</v>
      </c>
      <c r="P21" s="14">
        <v>0</v>
      </c>
      <c r="Q21" s="14">
        <v>2</v>
      </c>
      <c r="R21" s="14">
        <v>3</v>
      </c>
      <c r="S21" s="15">
        <v>2</v>
      </c>
    </row>
    <row r="22" spans="1:19" ht="15.6" x14ac:dyDescent="0.3">
      <c r="A22" s="12"/>
      <c r="B22" s="13">
        <v>67</v>
      </c>
      <c r="C22" s="13">
        <v>115</v>
      </c>
      <c r="D22" s="13">
        <v>564</v>
      </c>
      <c r="E22" s="13">
        <v>160</v>
      </c>
      <c r="F22" s="13">
        <v>1.6</v>
      </c>
      <c r="G22" s="13">
        <v>0</v>
      </c>
      <c r="H22" s="15">
        <v>1</v>
      </c>
      <c r="I22" s="4"/>
      <c r="J22" s="4"/>
      <c r="K22" s="12"/>
      <c r="L22" s="14">
        <v>0</v>
      </c>
      <c r="M22" s="14">
        <v>3</v>
      </c>
      <c r="N22" s="14">
        <v>0</v>
      </c>
      <c r="O22" s="14">
        <v>2</v>
      </c>
      <c r="P22" s="14">
        <v>0</v>
      </c>
      <c r="Q22" s="14">
        <v>2</v>
      </c>
      <c r="R22" s="14">
        <v>7</v>
      </c>
      <c r="S22" s="15">
        <v>1</v>
      </c>
    </row>
    <row r="23" spans="1:19" ht="15.6" x14ac:dyDescent="0.3">
      <c r="A23" s="12"/>
      <c r="B23" s="13">
        <v>57</v>
      </c>
      <c r="C23" s="13">
        <v>124</v>
      </c>
      <c r="D23" s="13">
        <v>261</v>
      </c>
      <c r="E23" s="13">
        <v>141</v>
      </c>
      <c r="F23" s="13">
        <v>0.3</v>
      </c>
      <c r="G23" s="13">
        <v>0</v>
      </c>
      <c r="H23" s="15">
        <v>2</v>
      </c>
      <c r="I23" s="4"/>
      <c r="J23" s="4"/>
      <c r="K23" s="12"/>
      <c r="L23" s="14">
        <v>1</v>
      </c>
      <c r="M23" s="14">
        <v>2</v>
      </c>
      <c r="N23" s="14">
        <v>0</v>
      </c>
      <c r="O23" s="14">
        <v>0</v>
      </c>
      <c r="P23" s="14">
        <v>0</v>
      </c>
      <c r="Q23" s="14">
        <v>1</v>
      </c>
      <c r="R23" s="14">
        <v>7</v>
      </c>
      <c r="S23" s="15">
        <v>2</v>
      </c>
    </row>
    <row r="24" spans="1:19" ht="15.6" x14ac:dyDescent="0.3">
      <c r="A24" s="12"/>
      <c r="B24" s="13">
        <v>64</v>
      </c>
      <c r="C24" s="13">
        <v>128</v>
      </c>
      <c r="D24" s="13">
        <v>263</v>
      </c>
      <c r="E24" s="13">
        <v>105</v>
      </c>
      <c r="F24" s="13">
        <v>0.2</v>
      </c>
      <c r="G24" s="13">
        <v>1</v>
      </c>
      <c r="H24" s="15">
        <v>1</v>
      </c>
      <c r="I24" s="4"/>
      <c r="J24" s="4"/>
      <c r="K24" s="12"/>
      <c r="L24" s="14">
        <v>1</v>
      </c>
      <c r="M24" s="14">
        <v>4</v>
      </c>
      <c r="N24" s="14">
        <v>0</v>
      </c>
      <c r="O24" s="14">
        <v>0</v>
      </c>
      <c r="P24" s="14">
        <v>1</v>
      </c>
      <c r="Q24" s="14">
        <v>2</v>
      </c>
      <c r="R24" s="14">
        <v>7</v>
      </c>
      <c r="S24" s="15">
        <v>1</v>
      </c>
    </row>
    <row r="25" spans="1:19" ht="15.6" x14ac:dyDescent="0.3">
      <c r="A25" s="12"/>
      <c r="B25" s="13">
        <v>74</v>
      </c>
      <c r="C25" s="13">
        <v>120</v>
      </c>
      <c r="D25" s="13">
        <v>269</v>
      </c>
      <c r="E25" s="13">
        <v>121</v>
      </c>
      <c r="F25" s="13">
        <v>0.2</v>
      </c>
      <c r="G25" s="13">
        <v>1</v>
      </c>
      <c r="H25" s="15">
        <v>1</v>
      </c>
      <c r="I25" s="4"/>
      <c r="J25" s="4"/>
      <c r="K25" s="12"/>
      <c r="L25" s="14">
        <v>0</v>
      </c>
      <c r="M25" s="14">
        <v>2</v>
      </c>
      <c r="N25" s="14">
        <v>0</v>
      </c>
      <c r="O25" s="14">
        <v>2</v>
      </c>
      <c r="P25" s="14">
        <v>1</v>
      </c>
      <c r="Q25" s="14">
        <v>1</v>
      </c>
      <c r="R25" s="14">
        <v>3</v>
      </c>
      <c r="S25" s="15">
        <v>1</v>
      </c>
    </row>
    <row r="26" spans="1:19" ht="15.6" x14ac:dyDescent="0.3">
      <c r="A26" s="12"/>
      <c r="B26" s="13">
        <v>65</v>
      </c>
      <c r="C26" s="13">
        <v>120</v>
      </c>
      <c r="D26" s="13">
        <v>177</v>
      </c>
      <c r="E26" s="13">
        <v>140</v>
      </c>
      <c r="F26" s="13">
        <v>0.4</v>
      </c>
      <c r="G26" s="13">
        <v>0</v>
      </c>
      <c r="H26" s="15">
        <v>1</v>
      </c>
      <c r="I26" s="4"/>
      <c r="J26" s="4"/>
      <c r="K26" s="12"/>
      <c r="L26" s="14">
        <v>1</v>
      </c>
      <c r="M26" s="14">
        <v>4</v>
      </c>
      <c r="N26" s="14">
        <v>0</v>
      </c>
      <c r="O26" s="14">
        <v>0</v>
      </c>
      <c r="P26" s="14">
        <v>0</v>
      </c>
      <c r="Q26" s="14">
        <v>1</v>
      </c>
      <c r="R26" s="14">
        <v>7</v>
      </c>
      <c r="S26" s="15">
        <v>1</v>
      </c>
    </row>
    <row r="27" spans="1:19" ht="15.6" x14ac:dyDescent="0.3">
      <c r="A27" s="12"/>
      <c r="B27" s="13">
        <v>56</v>
      </c>
      <c r="C27" s="13">
        <v>130</v>
      </c>
      <c r="D27" s="13">
        <v>256</v>
      </c>
      <c r="E27" s="13">
        <v>142</v>
      </c>
      <c r="F27" s="13">
        <v>0.6</v>
      </c>
      <c r="G27" s="13">
        <v>1</v>
      </c>
      <c r="H27" s="15">
        <v>2</v>
      </c>
      <c r="I27" s="4"/>
      <c r="J27" s="4"/>
      <c r="K27" s="12"/>
      <c r="L27" s="14">
        <v>1</v>
      </c>
      <c r="M27" s="14">
        <v>3</v>
      </c>
      <c r="N27" s="14">
        <v>1</v>
      </c>
      <c r="O27" s="14">
        <v>2</v>
      </c>
      <c r="P27" s="14">
        <v>1</v>
      </c>
      <c r="Q27" s="14">
        <v>2</v>
      </c>
      <c r="R27" s="14">
        <v>6</v>
      </c>
      <c r="S27" s="15">
        <v>2</v>
      </c>
    </row>
    <row r="28" spans="1:19" ht="15.6" x14ac:dyDescent="0.3">
      <c r="A28" s="12"/>
      <c r="B28" s="13">
        <v>59</v>
      </c>
      <c r="C28" s="13">
        <v>110</v>
      </c>
      <c r="D28" s="13">
        <v>239</v>
      </c>
      <c r="E28" s="13">
        <v>142</v>
      </c>
      <c r="F28" s="13">
        <v>1.2</v>
      </c>
      <c r="G28" s="13">
        <v>1</v>
      </c>
      <c r="H28" s="15">
        <v>2</v>
      </c>
      <c r="I28" s="4"/>
      <c r="J28" s="4"/>
      <c r="K28" s="12"/>
      <c r="L28" s="14">
        <v>1</v>
      </c>
      <c r="M28" s="14">
        <v>4</v>
      </c>
      <c r="N28" s="14">
        <v>0</v>
      </c>
      <c r="O28" s="14">
        <v>2</v>
      </c>
      <c r="P28" s="14">
        <v>1</v>
      </c>
      <c r="Q28" s="14">
        <v>2</v>
      </c>
      <c r="R28" s="14">
        <v>7</v>
      </c>
      <c r="S28" s="15">
        <v>2</v>
      </c>
    </row>
    <row r="29" spans="1:19" ht="15.6" x14ac:dyDescent="0.3">
      <c r="A29" s="12"/>
      <c r="B29" s="13">
        <v>60</v>
      </c>
      <c r="C29" s="13">
        <v>140</v>
      </c>
      <c r="D29" s="13">
        <v>293</v>
      </c>
      <c r="E29" s="13">
        <v>170</v>
      </c>
      <c r="F29" s="13">
        <v>1.2</v>
      </c>
      <c r="G29" s="13">
        <v>2</v>
      </c>
      <c r="H29" s="15">
        <v>2</v>
      </c>
      <c r="I29" s="4"/>
      <c r="J29" s="4"/>
      <c r="K29" s="12"/>
      <c r="L29" s="14">
        <v>1</v>
      </c>
      <c r="M29" s="14">
        <v>4</v>
      </c>
      <c r="N29" s="14">
        <v>0</v>
      </c>
      <c r="O29" s="14">
        <v>2</v>
      </c>
      <c r="P29" s="14">
        <v>0</v>
      </c>
      <c r="Q29" s="14">
        <v>2</v>
      </c>
      <c r="R29" s="14">
        <v>7</v>
      </c>
      <c r="S29" s="15">
        <v>2</v>
      </c>
    </row>
    <row r="30" spans="1:19" ht="15.6" x14ac:dyDescent="0.3">
      <c r="A30" s="12"/>
      <c r="B30" s="13">
        <v>63</v>
      </c>
      <c r="C30" s="13">
        <v>150</v>
      </c>
      <c r="D30" s="13">
        <v>407</v>
      </c>
      <c r="E30" s="13">
        <v>154</v>
      </c>
      <c r="F30" s="13">
        <v>4</v>
      </c>
      <c r="G30" s="13">
        <v>3</v>
      </c>
      <c r="H30" s="15">
        <v>2</v>
      </c>
      <c r="I30" s="4"/>
      <c r="J30" s="4"/>
      <c r="K30" s="12"/>
      <c r="L30" s="14">
        <v>0</v>
      </c>
      <c r="M30" s="14">
        <v>4</v>
      </c>
      <c r="N30" s="14">
        <v>0</v>
      </c>
      <c r="O30" s="14">
        <v>2</v>
      </c>
      <c r="P30" s="14">
        <v>0</v>
      </c>
      <c r="Q30" s="14">
        <v>2</v>
      </c>
      <c r="R30" s="14">
        <v>7</v>
      </c>
      <c r="S30" s="15">
        <v>2</v>
      </c>
    </row>
    <row r="31" spans="1:19" ht="15.6" x14ac:dyDescent="0.3">
      <c r="A31" s="4"/>
      <c r="B31" s="16">
        <v>1</v>
      </c>
      <c r="C31" s="16">
        <v>1</v>
      </c>
      <c r="D31" s="16">
        <v>1</v>
      </c>
      <c r="E31" s="16">
        <v>1</v>
      </c>
      <c r="F31" s="16">
        <v>1</v>
      </c>
      <c r="G31" s="16">
        <v>1</v>
      </c>
      <c r="H31" s="4"/>
      <c r="I31" s="4"/>
      <c r="J31" s="4"/>
      <c r="K31" s="4"/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4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3"/>
  <sheetViews>
    <sheetView topLeftCell="A34" zoomScaleNormal="100" workbookViewId="0">
      <selection activeCell="F16" sqref="F16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134" t="s">
        <v>11</v>
      </c>
      <c r="B1" s="134"/>
      <c r="C1" s="134"/>
      <c r="D1" s="134"/>
      <c r="E1" s="134"/>
      <c r="F1" s="134"/>
      <c r="G1" s="134"/>
      <c r="H1" s="134"/>
      <c r="I1" s="4"/>
      <c r="J1" s="4"/>
      <c r="K1" s="4"/>
      <c r="L1" s="4"/>
      <c r="M1" s="4"/>
      <c r="N1" s="4"/>
      <c r="O1" s="4"/>
      <c r="P1" s="4"/>
    </row>
    <row r="2" spans="1:17" ht="15.6" x14ac:dyDescent="0.3">
      <c r="A2" s="10" t="s">
        <v>5</v>
      </c>
      <c r="B2" s="21"/>
      <c r="C2" s="21"/>
      <c r="D2" s="21"/>
      <c r="E2" s="21"/>
      <c r="F2" s="21"/>
      <c r="G2" s="21"/>
      <c r="H2" s="22" t="s">
        <v>8</v>
      </c>
      <c r="I2" s="4"/>
      <c r="J2" s="4"/>
      <c r="K2" s="42" t="s">
        <v>12</v>
      </c>
      <c r="P2" s="4"/>
    </row>
    <row r="3" spans="1:17" ht="15.6" x14ac:dyDescent="0.3">
      <c r="A3" s="12"/>
      <c r="B3" s="13">
        <v>70</v>
      </c>
      <c r="C3" s="13">
        <v>130</v>
      </c>
      <c r="D3" s="13">
        <v>322</v>
      </c>
      <c r="E3" s="13">
        <v>109</v>
      </c>
      <c r="F3" s="13">
        <v>2.4</v>
      </c>
      <c r="G3" s="13">
        <v>3</v>
      </c>
      <c r="H3" s="15">
        <v>2</v>
      </c>
      <c r="I3" s="4"/>
      <c r="J3" s="4"/>
      <c r="K3" s="42" t="s">
        <v>9</v>
      </c>
      <c r="M3" s="132" t="s">
        <v>25</v>
      </c>
      <c r="N3" s="132"/>
      <c r="O3" s="132"/>
      <c r="P3" s="132"/>
      <c r="Q3" s="19">
        <v>1</v>
      </c>
    </row>
    <row r="4" spans="1:17" ht="15.6" x14ac:dyDescent="0.3">
      <c r="A4" s="12"/>
      <c r="B4" s="13">
        <v>67</v>
      </c>
      <c r="C4" s="13">
        <v>115</v>
      </c>
      <c r="D4" s="13">
        <v>564</v>
      </c>
      <c r="E4" s="13">
        <v>160</v>
      </c>
      <c r="F4" s="13">
        <v>1.6</v>
      </c>
      <c r="G4" s="13">
        <v>0</v>
      </c>
      <c r="H4" s="15">
        <v>1</v>
      </c>
      <c r="I4" s="4"/>
      <c r="J4" s="4"/>
      <c r="P4" s="4"/>
    </row>
    <row r="5" spans="1:17" ht="15.6" x14ac:dyDescent="0.3">
      <c r="A5" s="12"/>
      <c r="B5" s="13">
        <v>57</v>
      </c>
      <c r="C5" s="13">
        <v>124</v>
      </c>
      <c r="D5" s="13">
        <v>261</v>
      </c>
      <c r="E5" s="13">
        <v>141</v>
      </c>
      <c r="F5" s="13">
        <v>0.3</v>
      </c>
      <c r="G5" s="13">
        <v>0</v>
      </c>
      <c r="H5" s="15">
        <v>2</v>
      </c>
      <c r="I5" s="4"/>
      <c r="J5" s="4"/>
      <c r="P5" s="4"/>
    </row>
    <row r="6" spans="1:17" ht="15.6" x14ac:dyDescent="0.3">
      <c r="A6" s="12"/>
      <c r="B6" s="13">
        <v>64</v>
      </c>
      <c r="C6" s="13">
        <v>128</v>
      </c>
      <c r="D6" s="13">
        <v>263</v>
      </c>
      <c r="E6" s="13">
        <v>105</v>
      </c>
      <c r="F6" s="13">
        <v>0.2</v>
      </c>
      <c r="G6" s="13">
        <v>1</v>
      </c>
      <c r="H6" s="15">
        <v>1</v>
      </c>
      <c r="I6" s="4"/>
      <c r="J6" s="4"/>
      <c r="K6" s="140" t="s">
        <v>18</v>
      </c>
      <c r="L6" s="141"/>
      <c r="M6" s="141"/>
      <c r="N6" s="141"/>
      <c r="O6" s="142"/>
      <c r="P6" s="4"/>
    </row>
    <row r="7" spans="1:17" ht="15.6" x14ac:dyDescent="0.3">
      <c r="A7" s="12"/>
      <c r="B7" s="13">
        <v>74</v>
      </c>
      <c r="C7" s="13">
        <v>120</v>
      </c>
      <c r="D7" s="13">
        <v>269</v>
      </c>
      <c r="E7" s="13">
        <v>121</v>
      </c>
      <c r="F7" s="13">
        <v>0.2</v>
      </c>
      <c r="G7" s="13">
        <v>1</v>
      </c>
      <c r="H7" s="15">
        <v>1</v>
      </c>
      <c r="I7" s="4"/>
      <c r="J7" s="4"/>
      <c r="K7" s="10" t="s">
        <v>5</v>
      </c>
      <c r="L7" s="12"/>
      <c r="M7" s="12"/>
      <c r="N7" s="12"/>
      <c r="O7" s="12"/>
      <c r="P7" s="4"/>
    </row>
    <row r="8" spans="1:17" ht="15.6" x14ac:dyDescent="0.3">
      <c r="A8" s="12"/>
      <c r="B8" s="13">
        <v>65</v>
      </c>
      <c r="C8" s="13">
        <v>120</v>
      </c>
      <c r="D8" s="13">
        <v>177</v>
      </c>
      <c r="E8" s="13">
        <v>140</v>
      </c>
      <c r="F8" s="13">
        <v>0.4</v>
      </c>
      <c r="G8" s="13">
        <v>0</v>
      </c>
      <c r="H8" s="15">
        <v>1</v>
      </c>
      <c r="I8" s="4"/>
      <c r="J8" s="4"/>
      <c r="K8" s="21"/>
      <c r="L8" s="14">
        <v>56</v>
      </c>
      <c r="M8" s="14">
        <v>63</v>
      </c>
      <c r="N8" s="14">
        <v>74</v>
      </c>
      <c r="O8" s="30">
        <v>0.63492099999999996</v>
      </c>
      <c r="P8" s="4"/>
    </row>
    <row r="9" spans="1:17" ht="15.6" x14ac:dyDescent="0.3">
      <c r="A9" s="12"/>
      <c r="B9" s="13">
        <v>56</v>
      </c>
      <c r="C9" s="13">
        <v>130</v>
      </c>
      <c r="D9" s="13">
        <v>256</v>
      </c>
      <c r="E9" s="13">
        <v>142</v>
      </c>
      <c r="F9" s="13">
        <v>0.6</v>
      </c>
      <c r="G9" s="13">
        <v>1</v>
      </c>
      <c r="H9" s="15">
        <v>2</v>
      </c>
      <c r="I9" s="4"/>
      <c r="J9" s="4"/>
      <c r="K9" s="21"/>
      <c r="L9" s="14">
        <v>110</v>
      </c>
      <c r="M9" s="14">
        <v>120</v>
      </c>
      <c r="N9" s="14">
        <v>150</v>
      </c>
      <c r="O9" s="30">
        <v>0.41269800000000001</v>
      </c>
      <c r="P9" s="4"/>
    </row>
    <row r="10" spans="1:17" ht="15.6" x14ac:dyDescent="0.3">
      <c r="A10" s="12"/>
      <c r="B10" s="13">
        <v>59</v>
      </c>
      <c r="C10" s="13">
        <v>110</v>
      </c>
      <c r="D10" s="13">
        <v>239</v>
      </c>
      <c r="E10" s="13">
        <v>142</v>
      </c>
      <c r="F10" s="13">
        <v>1.2</v>
      </c>
      <c r="G10" s="13">
        <v>1</v>
      </c>
      <c r="H10" s="15">
        <v>2</v>
      </c>
      <c r="I10" s="4"/>
      <c r="J10" s="4"/>
      <c r="K10" s="21"/>
      <c r="L10" s="14">
        <v>177</v>
      </c>
      <c r="M10" s="14">
        <v>177</v>
      </c>
      <c r="N10" s="14">
        <v>564</v>
      </c>
      <c r="O10" s="30">
        <v>0.214286</v>
      </c>
      <c r="P10" s="4"/>
    </row>
    <row r="11" spans="1:17" ht="15.6" x14ac:dyDescent="0.3">
      <c r="A11" s="12"/>
      <c r="B11" s="13">
        <v>60</v>
      </c>
      <c r="C11" s="13">
        <v>140</v>
      </c>
      <c r="D11" s="13">
        <v>293</v>
      </c>
      <c r="E11" s="13">
        <v>170</v>
      </c>
      <c r="F11" s="13">
        <v>1.2</v>
      </c>
      <c r="G11" s="13">
        <v>2</v>
      </c>
      <c r="H11" s="15">
        <v>2</v>
      </c>
      <c r="I11" s="4"/>
      <c r="J11" s="4"/>
      <c r="K11" s="21"/>
      <c r="L11" s="14">
        <v>105</v>
      </c>
      <c r="M11" s="14">
        <v>140</v>
      </c>
      <c r="N11" s="14">
        <v>170</v>
      </c>
      <c r="O11" s="30">
        <v>0.41269800000000001</v>
      </c>
      <c r="P11" s="4"/>
    </row>
    <row r="12" spans="1:17" ht="15.6" x14ac:dyDescent="0.3">
      <c r="A12" s="12"/>
      <c r="B12" s="13">
        <v>63</v>
      </c>
      <c r="C12" s="13">
        <v>150</v>
      </c>
      <c r="D12" s="13">
        <v>407</v>
      </c>
      <c r="E12" s="13">
        <v>154</v>
      </c>
      <c r="F12" s="13">
        <v>4</v>
      </c>
      <c r="G12" s="13">
        <v>3</v>
      </c>
      <c r="H12" s="15">
        <v>2</v>
      </c>
      <c r="I12" s="4"/>
      <c r="J12" s="4"/>
      <c r="K12" s="21"/>
      <c r="L12" s="14">
        <v>0.2</v>
      </c>
      <c r="M12" s="14">
        <v>0.4</v>
      </c>
      <c r="N12" s="14">
        <v>4</v>
      </c>
      <c r="O12" s="30">
        <v>0.41269800000000001</v>
      </c>
      <c r="P12" s="4"/>
    </row>
    <row r="13" spans="1:17" ht="15.6" x14ac:dyDescent="0.3">
      <c r="A13" s="4"/>
      <c r="B13" s="16">
        <v>1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4"/>
      <c r="I13" s="4"/>
      <c r="J13" s="4"/>
      <c r="K13" s="21"/>
      <c r="L13" s="14">
        <v>0</v>
      </c>
      <c r="M13" s="14">
        <v>0</v>
      </c>
      <c r="N13" s="14">
        <v>3</v>
      </c>
      <c r="O13" s="30">
        <v>0.28571400000000002</v>
      </c>
      <c r="P13" s="4"/>
    </row>
    <row r="14" spans="1:17" ht="15.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7" ht="15.6" x14ac:dyDescent="0.3">
      <c r="A15" s="4"/>
      <c r="B15" s="4"/>
      <c r="C15" s="4"/>
      <c r="D15" s="4"/>
      <c r="E15" s="4"/>
      <c r="F15" s="4"/>
      <c r="G15" s="4"/>
      <c r="H15" s="4"/>
      <c r="I15" s="23"/>
      <c r="J15" s="4"/>
      <c r="K15" s="4"/>
      <c r="L15" s="4"/>
      <c r="M15" s="4"/>
      <c r="N15" s="4"/>
      <c r="O15" s="4"/>
      <c r="P15" s="4"/>
    </row>
    <row r="16" spans="1:17" ht="15.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5" ht="15.6" x14ac:dyDescent="0.3">
      <c r="A17" s="10" t="s">
        <v>5</v>
      </c>
      <c r="B17" s="11"/>
      <c r="C17" s="12" t="s">
        <v>8</v>
      </c>
      <c r="G17" s="10" t="s">
        <v>5</v>
      </c>
      <c r="H17" s="11"/>
      <c r="I17" s="12" t="s">
        <v>8</v>
      </c>
      <c r="K17" s="10" t="s">
        <v>5</v>
      </c>
      <c r="L17" s="11"/>
      <c r="M17" s="12" t="s">
        <v>8</v>
      </c>
      <c r="O17" s="10" t="s">
        <v>5</v>
      </c>
      <c r="P17" s="11"/>
      <c r="Q17" s="12" t="s">
        <v>8</v>
      </c>
      <c r="S17" s="10" t="s">
        <v>5</v>
      </c>
      <c r="T17" s="11"/>
      <c r="U17" s="12" t="s">
        <v>8</v>
      </c>
      <c r="W17" s="10" t="s">
        <v>5</v>
      </c>
      <c r="X17" s="11"/>
      <c r="Y17" s="12" t="s">
        <v>8</v>
      </c>
    </row>
    <row r="18" spans="1:25" ht="16.2" thickBot="1" x14ac:dyDescent="0.35">
      <c r="A18" s="12"/>
      <c r="B18" s="13">
        <v>56</v>
      </c>
      <c r="C18" s="15">
        <v>2</v>
      </c>
      <c r="G18" s="12"/>
      <c r="H18" s="13">
        <v>110</v>
      </c>
      <c r="I18" s="15">
        <v>2</v>
      </c>
      <c r="K18" s="29"/>
      <c r="L18" s="24">
        <v>177</v>
      </c>
      <c r="M18" s="25">
        <v>1</v>
      </c>
      <c r="O18" s="12"/>
      <c r="P18" s="13">
        <v>105</v>
      </c>
      <c r="Q18" s="15">
        <v>1</v>
      </c>
      <c r="S18" s="12"/>
      <c r="T18" s="13">
        <v>0.2</v>
      </c>
      <c r="U18" s="15">
        <v>1</v>
      </c>
      <c r="W18" s="12"/>
      <c r="X18" s="13">
        <v>0</v>
      </c>
      <c r="Y18" s="15">
        <v>1</v>
      </c>
    </row>
    <row r="19" spans="1:25" ht="15.6" x14ac:dyDescent="0.3">
      <c r="A19" s="12"/>
      <c r="B19" s="13">
        <v>57</v>
      </c>
      <c r="C19" s="15">
        <v>2</v>
      </c>
      <c r="G19" s="12"/>
      <c r="H19" s="13">
        <v>115</v>
      </c>
      <c r="I19" s="15">
        <v>1</v>
      </c>
      <c r="K19" s="12"/>
      <c r="L19" s="26">
        <v>239</v>
      </c>
      <c r="M19" s="27">
        <v>2</v>
      </c>
      <c r="O19" s="12"/>
      <c r="P19" s="13">
        <v>109</v>
      </c>
      <c r="Q19" s="15">
        <v>2</v>
      </c>
      <c r="S19" s="12"/>
      <c r="T19" s="13">
        <v>0.2</v>
      </c>
      <c r="U19" s="15">
        <v>1</v>
      </c>
      <c r="W19" s="22"/>
      <c r="X19" s="13">
        <v>0</v>
      </c>
      <c r="Y19" s="15">
        <v>2</v>
      </c>
    </row>
    <row r="20" spans="1:25" ht="16.2" thickBot="1" x14ac:dyDescent="0.35">
      <c r="A20" s="12"/>
      <c r="B20" s="13">
        <v>59</v>
      </c>
      <c r="C20" s="15">
        <v>2</v>
      </c>
      <c r="E20" s="108" t="s">
        <v>81</v>
      </c>
      <c r="G20" s="12"/>
      <c r="H20" s="13">
        <v>120</v>
      </c>
      <c r="I20" s="15">
        <v>1</v>
      </c>
      <c r="K20" s="12"/>
      <c r="L20" s="13">
        <v>256</v>
      </c>
      <c r="M20" s="15">
        <v>2</v>
      </c>
      <c r="O20" s="12"/>
      <c r="P20" s="13">
        <v>121</v>
      </c>
      <c r="Q20" s="15">
        <v>1</v>
      </c>
      <c r="S20" s="22"/>
      <c r="T20" s="13">
        <v>0.3</v>
      </c>
      <c r="U20" s="15">
        <v>2</v>
      </c>
      <c r="W20" s="29"/>
      <c r="X20" s="24">
        <v>0</v>
      </c>
      <c r="Y20" s="25">
        <v>1</v>
      </c>
    </row>
    <row r="21" spans="1:25" ht="16.2" thickBot="1" x14ac:dyDescent="0.35">
      <c r="A21" s="12"/>
      <c r="B21" s="13">
        <v>60</v>
      </c>
      <c r="C21" s="15">
        <v>2</v>
      </c>
      <c r="G21" s="29"/>
      <c r="H21" s="24">
        <v>120</v>
      </c>
      <c r="I21" s="25">
        <v>1</v>
      </c>
      <c r="K21" s="22"/>
      <c r="L21" s="13">
        <v>261</v>
      </c>
      <c r="M21" s="15">
        <v>2</v>
      </c>
      <c r="O21" s="29"/>
      <c r="P21" s="24">
        <v>140</v>
      </c>
      <c r="Q21" s="25">
        <v>1</v>
      </c>
      <c r="S21" s="29"/>
      <c r="T21" s="24">
        <v>0.4</v>
      </c>
      <c r="U21" s="25">
        <v>1</v>
      </c>
      <c r="W21" s="12"/>
      <c r="X21" s="26">
        <v>1</v>
      </c>
      <c r="Y21" s="27">
        <v>1</v>
      </c>
    </row>
    <row r="22" spans="1:25" ht="16.2" thickBot="1" x14ac:dyDescent="0.35">
      <c r="A22" s="29"/>
      <c r="B22" s="24">
        <v>63</v>
      </c>
      <c r="C22" s="25">
        <v>2</v>
      </c>
      <c r="G22" s="22"/>
      <c r="H22" s="26">
        <v>124</v>
      </c>
      <c r="I22" s="27">
        <v>2</v>
      </c>
      <c r="K22" s="12"/>
      <c r="L22" s="13">
        <v>263</v>
      </c>
      <c r="M22" s="15">
        <v>1</v>
      </c>
      <c r="O22" s="22"/>
      <c r="P22" s="26">
        <v>141</v>
      </c>
      <c r="Q22" s="27">
        <v>2</v>
      </c>
      <c r="S22" s="12"/>
      <c r="T22" s="26">
        <v>0.6</v>
      </c>
      <c r="U22" s="27">
        <v>2</v>
      </c>
      <c r="W22" s="12"/>
      <c r="X22" s="13">
        <v>1</v>
      </c>
      <c r="Y22" s="15">
        <v>1</v>
      </c>
    </row>
    <row r="23" spans="1:25" ht="15.6" x14ac:dyDescent="0.3">
      <c r="A23" s="22"/>
      <c r="B23" s="26">
        <v>64</v>
      </c>
      <c r="C23" s="27">
        <v>1</v>
      </c>
      <c r="G23" s="12"/>
      <c r="H23" s="13">
        <v>128</v>
      </c>
      <c r="I23" s="15">
        <v>1</v>
      </c>
      <c r="K23" s="12"/>
      <c r="L23" s="13">
        <v>269</v>
      </c>
      <c r="M23" s="15">
        <v>1</v>
      </c>
      <c r="O23" s="12"/>
      <c r="P23" s="13">
        <v>142</v>
      </c>
      <c r="Q23" s="15">
        <v>2</v>
      </c>
      <c r="S23" s="12"/>
      <c r="T23" s="13">
        <v>1.2</v>
      </c>
      <c r="U23" s="15">
        <v>2</v>
      </c>
      <c r="W23" s="12"/>
      <c r="X23" s="13">
        <v>1</v>
      </c>
      <c r="Y23" s="15">
        <v>2</v>
      </c>
    </row>
    <row r="24" spans="1:25" ht="15.6" x14ac:dyDescent="0.3">
      <c r="A24" s="12"/>
      <c r="B24" s="13">
        <v>65</v>
      </c>
      <c r="C24" s="15">
        <v>1</v>
      </c>
      <c r="G24" s="12"/>
      <c r="H24" s="13">
        <v>130</v>
      </c>
      <c r="I24" s="15">
        <v>2</v>
      </c>
      <c r="K24" s="12"/>
      <c r="L24" s="13">
        <v>293</v>
      </c>
      <c r="M24" s="15">
        <v>2</v>
      </c>
      <c r="O24" s="12"/>
      <c r="P24" s="13">
        <v>142</v>
      </c>
      <c r="Q24" s="15">
        <v>2</v>
      </c>
      <c r="S24" s="12"/>
      <c r="T24" s="13">
        <v>1.2</v>
      </c>
      <c r="U24" s="15">
        <v>2</v>
      </c>
      <c r="W24" s="12"/>
      <c r="X24" s="13">
        <v>1</v>
      </c>
      <c r="Y24" s="15">
        <v>2</v>
      </c>
    </row>
    <row r="25" spans="1:25" ht="15.6" x14ac:dyDescent="0.3">
      <c r="A25" s="12"/>
      <c r="B25" s="13">
        <v>67</v>
      </c>
      <c r="C25" s="15">
        <v>1</v>
      </c>
      <c r="E25" s="108" t="s">
        <v>82</v>
      </c>
      <c r="G25" s="12"/>
      <c r="H25" s="13">
        <v>130</v>
      </c>
      <c r="I25" s="15">
        <v>2</v>
      </c>
      <c r="K25" s="12"/>
      <c r="L25" s="13">
        <v>322</v>
      </c>
      <c r="M25" s="15">
        <v>2</v>
      </c>
      <c r="O25" s="12"/>
      <c r="P25" s="13">
        <v>154</v>
      </c>
      <c r="Q25" s="15">
        <v>2</v>
      </c>
      <c r="S25" s="12"/>
      <c r="T25" s="13">
        <v>1.6</v>
      </c>
      <c r="U25" s="15">
        <v>1</v>
      </c>
      <c r="W25" s="12"/>
      <c r="X25" s="13">
        <v>2</v>
      </c>
      <c r="Y25" s="15">
        <v>2</v>
      </c>
    </row>
    <row r="26" spans="1:25" ht="15.6" x14ac:dyDescent="0.3">
      <c r="A26" s="12"/>
      <c r="B26" s="13">
        <v>70</v>
      </c>
      <c r="C26" s="15">
        <v>2</v>
      </c>
      <c r="G26" s="12"/>
      <c r="H26" s="13">
        <v>140</v>
      </c>
      <c r="I26" s="15">
        <v>2</v>
      </c>
      <c r="K26" s="12"/>
      <c r="L26" s="13">
        <v>407</v>
      </c>
      <c r="M26" s="15">
        <v>2</v>
      </c>
      <c r="O26" s="12"/>
      <c r="P26" s="13">
        <v>160</v>
      </c>
      <c r="Q26" s="15">
        <v>1</v>
      </c>
      <c r="S26" s="12"/>
      <c r="T26" s="13">
        <v>2.4</v>
      </c>
      <c r="U26" s="15">
        <v>2</v>
      </c>
      <c r="W26" s="12"/>
      <c r="X26" s="13">
        <v>3</v>
      </c>
      <c r="Y26" s="15">
        <v>2</v>
      </c>
    </row>
    <row r="27" spans="1:25" ht="15.6" x14ac:dyDescent="0.3">
      <c r="A27" s="12"/>
      <c r="B27" s="13">
        <v>74</v>
      </c>
      <c r="C27" s="15">
        <v>1</v>
      </c>
      <c r="G27" s="12"/>
      <c r="H27" s="13">
        <v>150</v>
      </c>
      <c r="I27" s="15">
        <v>2</v>
      </c>
      <c r="K27" s="12"/>
      <c r="L27" s="13">
        <v>564</v>
      </c>
      <c r="M27" s="15">
        <v>1</v>
      </c>
      <c r="O27" s="12"/>
      <c r="P27" s="13">
        <v>170</v>
      </c>
      <c r="Q27" s="15">
        <v>2</v>
      </c>
      <c r="S27" s="12"/>
      <c r="T27" s="13">
        <v>4</v>
      </c>
      <c r="U27" s="15">
        <v>2</v>
      </c>
      <c r="W27" s="12"/>
      <c r="X27" s="13">
        <v>3</v>
      </c>
      <c r="Y27" s="15">
        <v>2</v>
      </c>
    </row>
    <row r="28" spans="1:25" ht="15.6" x14ac:dyDescent="0.3">
      <c r="A28" s="4"/>
      <c r="B28" s="4"/>
      <c r="C28" s="4"/>
      <c r="G28" s="4"/>
      <c r="H28" s="4"/>
      <c r="I28" s="4"/>
      <c r="K28" s="4"/>
      <c r="L28" s="4"/>
      <c r="M28" s="4"/>
      <c r="O28" s="4"/>
      <c r="P28" s="4"/>
      <c r="Q28" s="4"/>
      <c r="S28" s="4"/>
      <c r="T28" s="4"/>
      <c r="U28" s="4"/>
      <c r="W28" s="4"/>
      <c r="X28" s="4"/>
      <c r="Y28" s="4"/>
    </row>
    <row r="29" spans="1:25" ht="15.6" x14ac:dyDescent="0.3">
      <c r="A29" s="28"/>
      <c r="B29" s="10">
        <f>AVERAGE(B22,B23)</f>
        <v>63.5</v>
      </c>
      <c r="C29" s="4"/>
      <c r="G29" s="28"/>
      <c r="H29" s="10">
        <f>AVERAGE(H21,H22)</f>
        <v>122</v>
      </c>
      <c r="I29" s="4"/>
      <c r="K29" s="28"/>
      <c r="L29" s="10">
        <f>AVERAGE(L18,L19)</f>
        <v>208</v>
      </c>
      <c r="M29" s="4"/>
      <c r="O29" s="28"/>
      <c r="P29" s="10">
        <f>AVERAGE(P21,P22)</f>
        <v>140.5</v>
      </c>
      <c r="Q29" s="4"/>
      <c r="S29" s="28"/>
      <c r="T29" s="10">
        <f>AVERAGE(T21,T22)</f>
        <v>0.5</v>
      </c>
      <c r="U29" s="4"/>
      <c r="W29" s="28"/>
      <c r="X29" s="10">
        <f>AVERAGE(X20,X21)</f>
        <v>0.5</v>
      </c>
      <c r="Y29" s="4"/>
    </row>
    <row r="33" spans="1:8" ht="15.6" x14ac:dyDescent="0.3">
      <c r="A33" s="136" t="s">
        <v>19</v>
      </c>
      <c r="B33" s="136"/>
      <c r="C33" s="136"/>
      <c r="D33" s="136"/>
      <c r="E33" s="136"/>
      <c r="F33" s="136"/>
      <c r="G33" s="136"/>
      <c r="H33" s="136"/>
    </row>
    <row r="34" spans="1:8" ht="15.6" x14ac:dyDescent="0.3">
      <c r="A34" s="10" t="s">
        <v>5</v>
      </c>
      <c r="B34" s="11"/>
      <c r="C34" s="11"/>
      <c r="D34" s="11"/>
      <c r="E34" s="11"/>
      <c r="F34" s="11"/>
      <c r="G34" s="11"/>
      <c r="H34" s="22" t="s">
        <v>8</v>
      </c>
    </row>
    <row r="35" spans="1:8" ht="15.6" x14ac:dyDescent="0.3">
      <c r="A35" s="12"/>
      <c r="B35" s="5">
        <f t="shared" ref="B35:B44" si="0">IF(B3&lt;$B$29,1,2)</f>
        <v>2</v>
      </c>
      <c r="C35" s="5">
        <f t="shared" ref="C35:C44" si="1">IF(C3&lt;$H$29,1,2)</f>
        <v>2</v>
      </c>
      <c r="D35" s="5">
        <f t="shared" ref="D35:D44" si="2">IF(D3&lt;$L$29,1,2)</f>
        <v>2</v>
      </c>
      <c r="E35" s="5">
        <f t="shared" ref="E35:E44" si="3">IF(E3&lt;$P$29,1,2)</f>
        <v>1</v>
      </c>
      <c r="F35" s="5">
        <f t="shared" ref="F35:F44" si="4">IF(F3&lt;$T$29,1,2)</f>
        <v>2</v>
      </c>
      <c r="G35" s="5">
        <f t="shared" ref="G35:G44" si="5">IF(G3&lt;$X$29,1,2)</f>
        <v>2</v>
      </c>
      <c r="H35" s="15">
        <v>2</v>
      </c>
    </row>
    <row r="36" spans="1:8" ht="15.6" x14ac:dyDescent="0.3">
      <c r="A36" s="12"/>
      <c r="B36" s="5">
        <f t="shared" si="0"/>
        <v>2</v>
      </c>
      <c r="C36" s="5">
        <f t="shared" si="1"/>
        <v>1</v>
      </c>
      <c r="D36" s="5">
        <f t="shared" si="2"/>
        <v>2</v>
      </c>
      <c r="E36" s="5">
        <f t="shared" si="3"/>
        <v>2</v>
      </c>
      <c r="F36" s="5">
        <f t="shared" si="4"/>
        <v>2</v>
      </c>
      <c r="G36" s="5">
        <f t="shared" si="5"/>
        <v>1</v>
      </c>
      <c r="H36" s="15">
        <v>1</v>
      </c>
    </row>
    <row r="37" spans="1:8" ht="15.6" x14ac:dyDescent="0.3">
      <c r="A37" s="12"/>
      <c r="B37" s="5">
        <f t="shared" si="0"/>
        <v>1</v>
      </c>
      <c r="C37" s="5">
        <f t="shared" si="1"/>
        <v>2</v>
      </c>
      <c r="D37" s="5">
        <f t="shared" si="2"/>
        <v>2</v>
      </c>
      <c r="E37" s="5">
        <f t="shared" si="3"/>
        <v>2</v>
      </c>
      <c r="F37" s="5">
        <f t="shared" si="4"/>
        <v>1</v>
      </c>
      <c r="G37" s="5">
        <f t="shared" si="5"/>
        <v>1</v>
      </c>
      <c r="H37" s="15">
        <v>2</v>
      </c>
    </row>
    <row r="38" spans="1:8" ht="15.6" x14ac:dyDescent="0.3">
      <c r="A38" s="12"/>
      <c r="B38" s="5">
        <f t="shared" si="0"/>
        <v>2</v>
      </c>
      <c r="C38" s="5">
        <f t="shared" si="1"/>
        <v>2</v>
      </c>
      <c r="D38" s="5">
        <f t="shared" si="2"/>
        <v>2</v>
      </c>
      <c r="E38" s="5">
        <f t="shared" si="3"/>
        <v>1</v>
      </c>
      <c r="F38" s="5">
        <f t="shared" si="4"/>
        <v>1</v>
      </c>
      <c r="G38" s="5">
        <f t="shared" si="5"/>
        <v>2</v>
      </c>
      <c r="H38" s="15">
        <v>1</v>
      </c>
    </row>
    <row r="39" spans="1:8" ht="15.6" x14ac:dyDescent="0.3">
      <c r="A39" s="12"/>
      <c r="B39" s="5">
        <f t="shared" si="0"/>
        <v>2</v>
      </c>
      <c r="C39" s="5">
        <f t="shared" si="1"/>
        <v>1</v>
      </c>
      <c r="D39" s="5">
        <f t="shared" si="2"/>
        <v>2</v>
      </c>
      <c r="E39" s="5">
        <f t="shared" si="3"/>
        <v>1</v>
      </c>
      <c r="F39" s="5">
        <f t="shared" si="4"/>
        <v>1</v>
      </c>
      <c r="G39" s="5">
        <f t="shared" si="5"/>
        <v>2</v>
      </c>
      <c r="H39" s="15">
        <v>1</v>
      </c>
    </row>
    <row r="40" spans="1:8" ht="15.6" x14ac:dyDescent="0.3">
      <c r="A40" s="12"/>
      <c r="B40" s="5">
        <f t="shared" si="0"/>
        <v>2</v>
      </c>
      <c r="C40" s="5">
        <f t="shared" si="1"/>
        <v>1</v>
      </c>
      <c r="D40" s="5">
        <f t="shared" si="2"/>
        <v>1</v>
      </c>
      <c r="E40" s="5">
        <f t="shared" si="3"/>
        <v>1</v>
      </c>
      <c r="F40" s="5">
        <f t="shared" si="4"/>
        <v>1</v>
      </c>
      <c r="G40" s="5">
        <f t="shared" si="5"/>
        <v>1</v>
      </c>
      <c r="H40" s="15">
        <v>1</v>
      </c>
    </row>
    <row r="41" spans="1:8" ht="15.6" x14ac:dyDescent="0.3">
      <c r="A41" s="12"/>
      <c r="B41" s="5">
        <f t="shared" si="0"/>
        <v>1</v>
      </c>
      <c r="C41" s="5">
        <f t="shared" si="1"/>
        <v>2</v>
      </c>
      <c r="D41" s="5">
        <f t="shared" si="2"/>
        <v>2</v>
      </c>
      <c r="E41" s="5">
        <f t="shared" si="3"/>
        <v>2</v>
      </c>
      <c r="F41" s="5">
        <f t="shared" si="4"/>
        <v>2</v>
      </c>
      <c r="G41" s="5">
        <f t="shared" si="5"/>
        <v>2</v>
      </c>
      <c r="H41" s="15">
        <v>2</v>
      </c>
    </row>
    <row r="42" spans="1:8" ht="15.6" x14ac:dyDescent="0.3">
      <c r="A42" s="12"/>
      <c r="B42" s="5">
        <f t="shared" si="0"/>
        <v>1</v>
      </c>
      <c r="C42" s="5">
        <f t="shared" si="1"/>
        <v>1</v>
      </c>
      <c r="D42" s="5">
        <f t="shared" si="2"/>
        <v>2</v>
      </c>
      <c r="E42" s="5">
        <f t="shared" si="3"/>
        <v>2</v>
      </c>
      <c r="F42" s="5">
        <f t="shared" si="4"/>
        <v>2</v>
      </c>
      <c r="G42" s="5">
        <f t="shared" si="5"/>
        <v>2</v>
      </c>
      <c r="H42" s="15">
        <v>2</v>
      </c>
    </row>
    <row r="43" spans="1:8" ht="15.6" x14ac:dyDescent="0.3">
      <c r="A43" s="12"/>
      <c r="B43" s="5">
        <f t="shared" si="0"/>
        <v>1</v>
      </c>
      <c r="C43" s="5">
        <f t="shared" si="1"/>
        <v>2</v>
      </c>
      <c r="D43" s="5">
        <f t="shared" si="2"/>
        <v>2</v>
      </c>
      <c r="E43" s="5">
        <f t="shared" si="3"/>
        <v>2</v>
      </c>
      <c r="F43" s="5">
        <f t="shared" si="4"/>
        <v>2</v>
      </c>
      <c r="G43" s="5">
        <f t="shared" si="5"/>
        <v>2</v>
      </c>
      <c r="H43" s="15">
        <v>2</v>
      </c>
    </row>
    <row r="44" spans="1:8" ht="15.6" x14ac:dyDescent="0.3">
      <c r="A44" s="12"/>
      <c r="B44" s="5">
        <f t="shared" si="0"/>
        <v>1</v>
      </c>
      <c r="C44" s="5">
        <f t="shared" si="1"/>
        <v>2</v>
      </c>
      <c r="D44" s="5">
        <f t="shared" si="2"/>
        <v>2</v>
      </c>
      <c r="E44" s="5">
        <f t="shared" si="3"/>
        <v>2</v>
      </c>
      <c r="F44" s="5">
        <f t="shared" si="4"/>
        <v>2</v>
      </c>
      <c r="G44" s="5">
        <f t="shared" si="5"/>
        <v>2</v>
      </c>
      <c r="H44" s="15">
        <v>2</v>
      </c>
    </row>
    <row r="47" spans="1:8" ht="15.6" x14ac:dyDescent="0.3">
      <c r="A47" s="136" t="s">
        <v>20</v>
      </c>
      <c r="B47" s="136"/>
      <c r="C47" s="136"/>
      <c r="D47" s="136"/>
      <c r="E47" s="136"/>
      <c r="F47" s="136"/>
      <c r="G47" s="136"/>
      <c r="H47" s="136"/>
    </row>
    <row r="48" spans="1:8" ht="15.6" x14ac:dyDescent="0.3">
      <c r="A48" s="10" t="s">
        <v>5</v>
      </c>
      <c r="B48" s="11"/>
      <c r="C48" s="11"/>
      <c r="D48" s="11"/>
      <c r="E48" s="11"/>
      <c r="F48" s="11"/>
      <c r="G48" s="11"/>
      <c r="H48" s="22" t="s">
        <v>8</v>
      </c>
    </row>
    <row r="49" spans="1:8" ht="15.6" x14ac:dyDescent="0.3">
      <c r="A49" s="12"/>
      <c r="B49" s="6">
        <f>IF(B4&lt;$B$29,1,2)</f>
        <v>2</v>
      </c>
      <c r="C49" s="6">
        <f>IF(C4&lt;$H$29,1,2)</f>
        <v>1</v>
      </c>
      <c r="D49" s="6">
        <f>IF(D4&lt;$L$29,1,2)</f>
        <v>2</v>
      </c>
      <c r="E49" s="6">
        <f>IF(E4&lt;$P$29,1,2)</f>
        <v>2</v>
      </c>
      <c r="F49" s="6">
        <f>IF(F4&lt;$T$29,1,2)</f>
        <v>2</v>
      </c>
      <c r="G49" s="6">
        <f>IF(G4&lt;$X$29,1,2)</f>
        <v>1</v>
      </c>
      <c r="H49" s="15">
        <v>1</v>
      </c>
    </row>
    <row r="50" spans="1:8" ht="15.6" x14ac:dyDescent="0.3">
      <c r="A50" s="12"/>
      <c r="B50" s="6">
        <f>IF(B6&lt;$B$29,1,2)</f>
        <v>2</v>
      </c>
      <c r="C50" s="6">
        <f>IF(C6&lt;$H$29,1,2)</f>
        <v>2</v>
      </c>
      <c r="D50" s="6">
        <f>IF(D6&lt;$L$29,1,2)</f>
        <v>2</v>
      </c>
      <c r="E50" s="6">
        <f>IF(E6&lt;$P$29,1,2)</f>
        <v>1</v>
      </c>
      <c r="F50" s="6">
        <f>IF(F6&lt;$T$29,1,2)</f>
        <v>1</v>
      </c>
      <c r="G50" s="6">
        <f>IF(G6&lt;$X$29,1,2)</f>
        <v>2</v>
      </c>
      <c r="H50" s="15">
        <v>1</v>
      </c>
    </row>
    <row r="51" spans="1:8" ht="15.6" x14ac:dyDescent="0.3">
      <c r="A51" s="12"/>
      <c r="B51" s="6">
        <f>IF(B7&lt;$B$29,1,2)</f>
        <v>2</v>
      </c>
      <c r="C51" s="6">
        <f>IF(C7&lt;$H$29,1,2)</f>
        <v>1</v>
      </c>
      <c r="D51" s="6">
        <f>IF(D7&lt;$L$29,1,2)</f>
        <v>2</v>
      </c>
      <c r="E51" s="6">
        <f>IF(E7&lt;$P$29,1,2)</f>
        <v>1</v>
      </c>
      <c r="F51" s="6">
        <f>IF(F7&lt;$T$29,1,2)</f>
        <v>1</v>
      </c>
      <c r="G51" s="6">
        <f>IF(G7&lt;$X$29,1,2)</f>
        <v>2</v>
      </c>
      <c r="H51" s="15">
        <v>1</v>
      </c>
    </row>
    <row r="52" spans="1:8" ht="16.2" thickBot="1" x14ac:dyDescent="0.35">
      <c r="A52" s="29"/>
      <c r="B52" s="51">
        <f>IF(B8&lt;$B$29,1,2)</f>
        <v>2</v>
      </c>
      <c r="C52" s="51">
        <f>IF(C8&lt;$H$29,1,2)</f>
        <v>1</v>
      </c>
      <c r="D52" s="51">
        <f>IF(D8&lt;$L$29,1,2)</f>
        <v>1</v>
      </c>
      <c r="E52" s="51">
        <f>IF(E8&lt;$P$29,1,2)</f>
        <v>1</v>
      </c>
      <c r="F52" s="51">
        <f>IF(F8&lt;$T$29,1,2)</f>
        <v>1</v>
      </c>
      <c r="G52" s="51">
        <f>IF(G8&lt;$X$29,1,2)</f>
        <v>1</v>
      </c>
      <c r="H52" s="25">
        <v>1</v>
      </c>
    </row>
    <row r="53" spans="1:8" ht="15.6" x14ac:dyDescent="0.3">
      <c r="A53" s="22"/>
      <c r="B53" s="7">
        <f>IF(B3&lt;$B$29,1,2)</f>
        <v>2</v>
      </c>
      <c r="C53" s="7">
        <f>IF(C3&lt;$H$29,1,2)</f>
        <v>2</v>
      </c>
      <c r="D53" s="7">
        <f>IF(D3&lt;$L$29,1,2)</f>
        <v>2</v>
      </c>
      <c r="E53" s="7">
        <f>IF(E3&lt;$P$29,1,2)</f>
        <v>1</v>
      </c>
      <c r="F53" s="7">
        <f>IF(F3&lt;$T$29,1,2)</f>
        <v>2</v>
      </c>
      <c r="G53" s="7">
        <f>IF(G3&lt;$X$29,1,2)</f>
        <v>2</v>
      </c>
      <c r="H53" s="27">
        <v>2</v>
      </c>
    </row>
    <row r="54" spans="1:8" ht="15.6" x14ac:dyDescent="0.3">
      <c r="A54" s="12"/>
      <c r="B54" s="6">
        <f>IF(B5&lt;$B$29,1,2)</f>
        <v>1</v>
      </c>
      <c r="C54" s="6">
        <f>IF(C5&lt;$H$29,1,2)</f>
        <v>2</v>
      </c>
      <c r="D54" s="6">
        <f>IF(D5&lt;$L$29,1,2)</f>
        <v>2</v>
      </c>
      <c r="E54" s="6">
        <f>IF(E5&lt;$P$29,1,2)</f>
        <v>2</v>
      </c>
      <c r="F54" s="6">
        <f>IF(F5&lt;$T$29,1,2)</f>
        <v>1</v>
      </c>
      <c r="G54" s="6">
        <f>IF(G5&lt;$X$29,1,2)</f>
        <v>1</v>
      </c>
      <c r="H54" s="15">
        <v>2</v>
      </c>
    </row>
    <row r="55" spans="1:8" ht="15.6" x14ac:dyDescent="0.3">
      <c r="A55" s="12"/>
      <c r="B55" s="6">
        <f>IF(B9&lt;$B$29,1,2)</f>
        <v>1</v>
      </c>
      <c r="C55" s="6">
        <f>IF(C9&lt;$H$29,1,2)</f>
        <v>2</v>
      </c>
      <c r="D55" s="6">
        <f>IF(D9&lt;$L$29,1,2)</f>
        <v>2</v>
      </c>
      <c r="E55" s="6">
        <f>IF(E9&lt;$P$29,1,2)</f>
        <v>2</v>
      </c>
      <c r="F55" s="6">
        <f>IF(F9&lt;$T$29,1,2)</f>
        <v>2</v>
      </c>
      <c r="G55" s="6">
        <f>IF(G9&lt;$X$29,1,2)</f>
        <v>2</v>
      </c>
      <c r="H55" s="15">
        <v>2</v>
      </c>
    </row>
    <row r="56" spans="1:8" ht="15.6" x14ac:dyDescent="0.3">
      <c r="A56" s="12"/>
      <c r="B56" s="6">
        <f>IF(B10&lt;$B$29,1,2)</f>
        <v>1</v>
      </c>
      <c r="C56" s="6">
        <f>IF(C10&lt;$H$29,1,2)</f>
        <v>1</v>
      </c>
      <c r="D56" s="6">
        <f>IF(D10&lt;$L$29,1,2)</f>
        <v>2</v>
      </c>
      <c r="E56" s="6">
        <f>IF(E10&lt;$P$29,1,2)</f>
        <v>2</v>
      </c>
      <c r="F56" s="6">
        <f>IF(F10&lt;$T$29,1,2)</f>
        <v>2</v>
      </c>
      <c r="G56" s="6">
        <f>IF(G10&lt;$X$29,1,2)</f>
        <v>2</v>
      </c>
      <c r="H56" s="15">
        <v>2</v>
      </c>
    </row>
    <row r="57" spans="1:8" ht="15.6" x14ac:dyDescent="0.3">
      <c r="A57" s="12"/>
      <c r="B57" s="6">
        <f>IF(B11&lt;$B$29,1,2)</f>
        <v>1</v>
      </c>
      <c r="C57" s="6">
        <f>IF(C11&lt;$H$29,1,2)</f>
        <v>2</v>
      </c>
      <c r="D57" s="6">
        <f>IF(D11&lt;$L$29,1,2)</f>
        <v>2</v>
      </c>
      <c r="E57" s="6">
        <f>IF(E11&lt;$P$29,1,2)</f>
        <v>2</v>
      </c>
      <c r="F57" s="6">
        <f>IF(F11&lt;$T$29,1,2)</f>
        <v>2</v>
      </c>
      <c r="G57" s="6">
        <f>IF(G11&lt;$X$29,1,2)</f>
        <v>2</v>
      </c>
      <c r="H57" s="15">
        <v>2</v>
      </c>
    </row>
    <row r="58" spans="1:8" ht="15.6" x14ac:dyDescent="0.3">
      <c r="A58" s="12"/>
      <c r="B58" s="6">
        <f>IF(B12&lt;$B$29,1,2)</f>
        <v>1</v>
      </c>
      <c r="C58" s="6">
        <f>IF(C12&lt;$H$29,1,2)</f>
        <v>2</v>
      </c>
      <c r="D58" s="6">
        <f>IF(D12&lt;$L$29,1,2)</f>
        <v>2</v>
      </c>
      <c r="E58" s="6">
        <f>IF(E12&lt;$P$29,1,2)</f>
        <v>2</v>
      </c>
      <c r="F58" s="6">
        <f>IF(F12&lt;$T$29,1,2)</f>
        <v>2</v>
      </c>
      <c r="G58" s="6">
        <f>IF(G12&lt;$X$29,1,2)</f>
        <v>2</v>
      </c>
      <c r="H58" s="15">
        <v>2</v>
      </c>
    </row>
    <row r="62" spans="1:8" ht="15.6" x14ac:dyDescent="0.3">
      <c r="A62" s="136" t="s">
        <v>21</v>
      </c>
      <c r="B62" s="136"/>
      <c r="C62" s="136"/>
      <c r="D62" s="136"/>
      <c r="E62" s="136"/>
      <c r="F62" s="136"/>
      <c r="G62" s="136"/>
      <c r="H62" s="136"/>
    </row>
    <row r="63" spans="1:8" ht="15.6" x14ac:dyDescent="0.3">
      <c r="A63" s="34" t="s">
        <v>22</v>
      </c>
      <c r="B63" s="21" t="s">
        <v>3</v>
      </c>
      <c r="C63" s="21" t="s">
        <v>3</v>
      </c>
      <c r="D63" s="21" t="s">
        <v>3</v>
      </c>
      <c r="E63" s="21" t="s">
        <v>3</v>
      </c>
      <c r="F63" s="21" t="s">
        <v>3</v>
      </c>
      <c r="G63" s="21" t="s">
        <v>3</v>
      </c>
      <c r="H63" s="22" t="s">
        <v>8</v>
      </c>
    </row>
    <row r="64" spans="1:8" ht="19.95" customHeight="1" x14ac:dyDescent="0.3">
      <c r="A64" s="35"/>
      <c r="B64" s="31">
        <f>COUNTIFS(B$49:B$58, 1+MOD(INT((ROW()-ROW($B$64))/2),2), $H$49:$H$58, VALUE(RIGHT($H64,1)))</f>
        <v>0</v>
      </c>
      <c r="C64" s="31">
        <f t="shared" ref="B64:G67" si="6">COUNTIFS(C$49:C$58, 1+MOD(INT((ROW()-ROW($B$64))/2),2), $H$49:$H$58, VALUE(RIGHT($H64,1)))</f>
        <v>3</v>
      </c>
      <c r="D64" s="31">
        <f t="shared" si="6"/>
        <v>1</v>
      </c>
      <c r="E64" s="31">
        <f t="shared" si="6"/>
        <v>3</v>
      </c>
      <c r="F64" s="31">
        <f t="shared" si="6"/>
        <v>3</v>
      </c>
      <c r="G64" s="31">
        <f t="shared" si="6"/>
        <v>2</v>
      </c>
      <c r="H64" s="15">
        <v>1</v>
      </c>
    </row>
    <row r="65" spans="1:8" ht="19.95" customHeight="1" thickBot="1" x14ac:dyDescent="0.35">
      <c r="A65" s="38"/>
      <c r="B65" s="32">
        <f t="shared" si="6"/>
        <v>5</v>
      </c>
      <c r="C65" s="32">
        <f t="shared" si="6"/>
        <v>1</v>
      </c>
      <c r="D65" s="32">
        <f t="shared" si="6"/>
        <v>0</v>
      </c>
      <c r="E65" s="32">
        <f t="shared" si="6"/>
        <v>1</v>
      </c>
      <c r="F65" s="32">
        <f t="shared" si="6"/>
        <v>1</v>
      </c>
      <c r="G65" s="32">
        <f t="shared" si="6"/>
        <v>1</v>
      </c>
      <c r="H65" s="25">
        <v>2</v>
      </c>
    </row>
    <row r="66" spans="1:8" ht="19.95" customHeight="1" x14ac:dyDescent="0.3">
      <c r="A66" s="37"/>
      <c r="B66" s="33">
        <f t="shared" si="6"/>
        <v>4</v>
      </c>
      <c r="C66" s="33">
        <f t="shared" si="6"/>
        <v>1</v>
      </c>
      <c r="D66" s="33">
        <f t="shared" si="6"/>
        <v>3</v>
      </c>
      <c r="E66" s="33">
        <f t="shared" si="6"/>
        <v>1</v>
      </c>
      <c r="F66" s="33">
        <f t="shared" si="6"/>
        <v>1</v>
      </c>
      <c r="G66" s="33">
        <f t="shared" si="6"/>
        <v>2</v>
      </c>
      <c r="H66" s="27">
        <v>1</v>
      </c>
    </row>
    <row r="67" spans="1:8" ht="19.95" customHeight="1" x14ac:dyDescent="0.3">
      <c r="A67" s="36"/>
      <c r="B67" s="31">
        <f t="shared" si="6"/>
        <v>1</v>
      </c>
      <c r="C67" s="31">
        <f t="shared" si="6"/>
        <v>5</v>
      </c>
      <c r="D67" s="31">
        <f t="shared" si="6"/>
        <v>6</v>
      </c>
      <c r="E67" s="31">
        <f t="shared" si="6"/>
        <v>5</v>
      </c>
      <c r="F67" s="31">
        <f t="shared" si="6"/>
        <v>5</v>
      </c>
      <c r="G67" s="31">
        <f t="shared" si="6"/>
        <v>5</v>
      </c>
      <c r="H67" s="15">
        <v>2</v>
      </c>
    </row>
    <row r="70" spans="1:8" ht="15.6" x14ac:dyDescent="0.3">
      <c r="A70" s="136" t="s">
        <v>24</v>
      </c>
      <c r="B70" s="136"/>
      <c r="C70" s="136"/>
      <c r="D70" s="136"/>
      <c r="E70" s="136"/>
      <c r="F70" s="136"/>
      <c r="G70" s="136"/>
    </row>
    <row r="71" spans="1:8" ht="15.6" x14ac:dyDescent="0.3">
      <c r="A71" s="12"/>
      <c r="B71" s="30">
        <v>0.63492099999999996</v>
      </c>
      <c r="C71" s="30">
        <v>0.41269800000000001</v>
      </c>
      <c r="D71" s="30">
        <v>0.214286</v>
      </c>
      <c r="E71" s="30">
        <v>0.41269800000000001</v>
      </c>
      <c r="F71" s="30">
        <v>0.41269800000000001</v>
      </c>
      <c r="G71" s="30">
        <v>0.28571400000000002</v>
      </c>
    </row>
    <row r="74" spans="1:8" ht="15.6" x14ac:dyDescent="0.3">
      <c r="A74" s="137" t="s">
        <v>23</v>
      </c>
      <c r="B74" s="138"/>
      <c r="C74" s="138"/>
      <c r="D74" s="138"/>
      <c r="E74" s="138"/>
      <c r="F74" s="138"/>
      <c r="G74" s="139"/>
    </row>
    <row r="75" spans="1:8" ht="34.200000000000003" customHeight="1" x14ac:dyDescent="0.3">
      <c r="A75" s="52" t="s">
        <v>40</v>
      </c>
      <c r="B75" s="21" t="s">
        <v>3</v>
      </c>
      <c r="C75" s="21" t="s">
        <v>3</v>
      </c>
      <c r="D75" s="21" t="s">
        <v>3</v>
      </c>
      <c r="E75" s="21" t="s">
        <v>3</v>
      </c>
      <c r="F75" s="21" t="s">
        <v>3</v>
      </c>
      <c r="G75" s="21" t="s">
        <v>3</v>
      </c>
    </row>
    <row r="76" spans="1:8" ht="19.95" customHeight="1" x14ac:dyDescent="0.3">
      <c r="A76" s="12"/>
      <c r="B76" s="50">
        <f>B$71*(B$64/COUNTIF($H$3:$H$12,1) - B$65/COUNTIF($H$3:$H$12,2))</f>
        <v>-0.52910083333333335</v>
      </c>
      <c r="C76" s="50">
        <f t="shared" ref="C76:G76" si="7">C$71*(C$64/COUNTIF($H$3:$H$12,1) - C$65/COUNTIF($H$3:$H$12,2))</f>
        <v>0.24074050000000002</v>
      </c>
      <c r="D76" s="50">
        <f>D$71*(D$64/COUNTIF($H$3:$H$12,1) - D$65/COUNTIF($H$3:$H$12,2))</f>
        <v>5.3571500000000001E-2</v>
      </c>
      <c r="E76" s="50">
        <f t="shared" si="7"/>
        <v>0.24074050000000002</v>
      </c>
      <c r="F76" s="50">
        <f t="shared" si="7"/>
        <v>0.24074050000000002</v>
      </c>
      <c r="G76" s="50">
        <f t="shared" si="7"/>
        <v>9.5238000000000017E-2</v>
      </c>
    </row>
    <row r="77" spans="1:8" ht="19.95" customHeight="1" x14ac:dyDescent="0.3">
      <c r="A77" s="12"/>
      <c r="B77" s="50">
        <f>B$71*(B$66/COUNTIF($H$3:$H$12,1) - B$67/COUNTIF($H$3:$H$12,2))</f>
        <v>0.52910083333333335</v>
      </c>
      <c r="C77" s="50">
        <f t="shared" ref="C77:G77" si="8">C$71*(C$66/COUNTIF($H$3:$H$12,1) - C$67/COUNTIF($H$3:$H$12,2))</f>
        <v>-0.24074050000000002</v>
      </c>
      <c r="D77" s="50">
        <f t="shared" si="8"/>
        <v>-5.3571500000000001E-2</v>
      </c>
      <c r="E77" s="50">
        <f t="shared" si="8"/>
        <v>-0.24074050000000002</v>
      </c>
      <c r="F77" s="50">
        <f t="shared" si="8"/>
        <v>-0.24074050000000002</v>
      </c>
      <c r="G77" s="50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136" t="s">
        <v>39</v>
      </c>
      <c r="B81" s="136"/>
      <c r="C81" s="136"/>
      <c r="D81" s="136"/>
      <c r="E81" s="136"/>
      <c r="F81" s="136"/>
      <c r="G81" s="136"/>
      <c r="H81" s="136"/>
    </row>
    <row r="82" spans="1:15" ht="15.6" x14ac:dyDescent="0.3">
      <c r="A82" s="10" t="s">
        <v>5</v>
      </c>
      <c r="B82" s="21"/>
      <c r="C82" s="21"/>
      <c r="D82" s="21"/>
      <c r="E82" s="21"/>
      <c r="F82" s="21"/>
      <c r="G82" s="21"/>
      <c r="H82" s="22" t="s">
        <v>8</v>
      </c>
    </row>
    <row r="83" spans="1:15" ht="15.6" x14ac:dyDescent="0.3">
      <c r="A83" s="12"/>
      <c r="B83" s="13">
        <f>IFERROR(IF(B35=1, B$76, IF(B35=2, B$77, "Error!!!")), "Error!!!")</f>
        <v>0.52910083333333335</v>
      </c>
      <c r="C83" s="13">
        <f t="shared" ref="C83:G83" si="9">IFERROR(IF(C35=1, C$76, IF(C35=2, C$77, "Error!!!")), "Error!!!")</f>
        <v>-0.24074050000000002</v>
      </c>
      <c r="D83" s="13">
        <f t="shared" si="9"/>
        <v>-5.3571500000000001E-2</v>
      </c>
      <c r="E83" s="13">
        <f t="shared" si="9"/>
        <v>0.24074050000000002</v>
      </c>
      <c r="F83" s="13">
        <f t="shared" si="9"/>
        <v>-0.24074050000000002</v>
      </c>
      <c r="G83" s="13">
        <f t="shared" si="9"/>
        <v>-9.5238000000000017E-2</v>
      </c>
      <c r="H83" s="15">
        <v>2</v>
      </c>
      <c r="O83" s="2"/>
    </row>
    <row r="84" spans="1:15" ht="15.6" x14ac:dyDescent="0.3">
      <c r="A84" s="12"/>
      <c r="B84" s="13">
        <f t="shared" ref="B84:G92" si="10">IFERROR(IF(B36=1, B$76, IF(B36=2, B$77, "Error!!!")), "Error!!!")</f>
        <v>0.52910083333333335</v>
      </c>
      <c r="C84" s="13">
        <f t="shared" si="10"/>
        <v>0.24074050000000002</v>
      </c>
      <c r="D84" s="13">
        <f t="shared" si="10"/>
        <v>-5.3571500000000001E-2</v>
      </c>
      <c r="E84" s="13">
        <f t="shared" si="10"/>
        <v>-0.24074050000000002</v>
      </c>
      <c r="F84" s="13">
        <f t="shared" si="10"/>
        <v>-0.24074050000000002</v>
      </c>
      <c r="G84" s="13">
        <f t="shared" si="10"/>
        <v>9.5238000000000017E-2</v>
      </c>
      <c r="H84" s="15">
        <v>1</v>
      </c>
      <c r="O84" s="2"/>
    </row>
    <row r="85" spans="1:15" ht="15.6" x14ac:dyDescent="0.3">
      <c r="A85" s="12"/>
      <c r="B85" s="13">
        <f t="shared" si="10"/>
        <v>-0.52910083333333335</v>
      </c>
      <c r="C85" s="13">
        <f t="shared" si="10"/>
        <v>-0.24074050000000002</v>
      </c>
      <c r="D85" s="13">
        <f t="shared" si="10"/>
        <v>-5.3571500000000001E-2</v>
      </c>
      <c r="E85" s="13">
        <f t="shared" si="10"/>
        <v>-0.24074050000000002</v>
      </c>
      <c r="F85" s="13">
        <f t="shared" si="10"/>
        <v>0.24074050000000002</v>
      </c>
      <c r="G85" s="13">
        <f t="shared" si="10"/>
        <v>9.5238000000000017E-2</v>
      </c>
      <c r="H85" s="15">
        <v>2</v>
      </c>
      <c r="O85" s="2"/>
    </row>
    <row r="86" spans="1:15" ht="15.6" x14ac:dyDescent="0.3">
      <c r="A86" s="12"/>
      <c r="B86" s="13">
        <f t="shared" si="10"/>
        <v>0.52910083333333335</v>
      </c>
      <c r="C86" s="13">
        <f t="shared" si="10"/>
        <v>-0.24074050000000002</v>
      </c>
      <c r="D86" s="13">
        <f t="shared" si="10"/>
        <v>-5.3571500000000001E-2</v>
      </c>
      <c r="E86" s="13">
        <f t="shared" si="10"/>
        <v>0.24074050000000002</v>
      </c>
      <c r="F86" s="13">
        <f t="shared" si="10"/>
        <v>0.24074050000000002</v>
      </c>
      <c r="G86" s="13">
        <f t="shared" si="10"/>
        <v>-9.5238000000000017E-2</v>
      </c>
      <c r="H86" s="15">
        <v>1</v>
      </c>
    </row>
    <row r="87" spans="1:15" ht="15.6" x14ac:dyDescent="0.3">
      <c r="A87" s="12"/>
      <c r="B87" s="13">
        <f t="shared" si="10"/>
        <v>0.52910083333333335</v>
      </c>
      <c r="C87" s="13">
        <f t="shared" si="10"/>
        <v>0.24074050000000002</v>
      </c>
      <c r="D87" s="13">
        <f t="shared" si="10"/>
        <v>-5.3571500000000001E-2</v>
      </c>
      <c r="E87" s="13">
        <f t="shared" si="10"/>
        <v>0.24074050000000002</v>
      </c>
      <c r="F87" s="13">
        <f t="shared" si="10"/>
        <v>0.24074050000000002</v>
      </c>
      <c r="G87" s="13">
        <f t="shared" si="10"/>
        <v>-9.5238000000000017E-2</v>
      </c>
      <c r="H87" s="15">
        <v>1</v>
      </c>
    </row>
    <row r="88" spans="1:15" ht="15.6" x14ac:dyDescent="0.3">
      <c r="A88" s="12"/>
      <c r="B88" s="13">
        <f t="shared" si="10"/>
        <v>0.52910083333333335</v>
      </c>
      <c r="C88" s="13">
        <f t="shared" si="10"/>
        <v>0.24074050000000002</v>
      </c>
      <c r="D88" s="13">
        <f t="shared" si="10"/>
        <v>5.3571500000000001E-2</v>
      </c>
      <c r="E88" s="13">
        <f t="shared" si="10"/>
        <v>0.24074050000000002</v>
      </c>
      <c r="F88" s="13">
        <f t="shared" si="10"/>
        <v>0.24074050000000002</v>
      </c>
      <c r="G88" s="13">
        <f t="shared" si="10"/>
        <v>9.5238000000000017E-2</v>
      </c>
      <c r="H88" s="15">
        <v>1</v>
      </c>
    </row>
    <row r="89" spans="1:15" ht="15.6" x14ac:dyDescent="0.3">
      <c r="A89" s="12"/>
      <c r="B89" s="13">
        <f t="shared" si="10"/>
        <v>-0.52910083333333335</v>
      </c>
      <c r="C89" s="13">
        <f t="shared" si="10"/>
        <v>-0.24074050000000002</v>
      </c>
      <c r="D89" s="13">
        <f t="shared" si="10"/>
        <v>-5.3571500000000001E-2</v>
      </c>
      <c r="E89" s="13">
        <f t="shared" si="10"/>
        <v>-0.24074050000000002</v>
      </c>
      <c r="F89" s="13">
        <f t="shared" si="10"/>
        <v>-0.24074050000000002</v>
      </c>
      <c r="G89" s="13">
        <f t="shared" si="10"/>
        <v>-9.5238000000000017E-2</v>
      </c>
      <c r="H89" s="15">
        <v>2</v>
      </c>
    </row>
    <row r="90" spans="1:15" ht="15.6" x14ac:dyDescent="0.3">
      <c r="A90" s="12"/>
      <c r="B90" s="13">
        <f t="shared" si="10"/>
        <v>-0.52910083333333335</v>
      </c>
      <c r="C90" s="13">
        <f t="shared" si="10"/>
        <v>0.24074050000000002</v>
      </c>
      <c r="D90" s="13">
        <f t="shared" si="10"/>
        <v>-5.3571500000000001E-2</v>
      </c>
      <c r="E90" s="13">
        <f t="shared" si="10"/>
        <v>-0.24074050000000002</v>
      </c>
      <c r="F90" s="13">
        <f t="shared" si="10"/>
        <v>-0.24074050000000002</v>
      </c>
      <c r="G90" s="13">
        <f t="shared" si="10"/>
        <v>-9.5238000000000017E-2</v>
      </c>
      <c r="H90" s="15">
        <v>2</v>
      </c>
    </row>
    <row r="91" spans="1:15" ht="15.6" x14ac:dyDescent="0.3">
      <c r="A91" s="12"/>
      <c r="B91" s="13">
        <f t="shared" si="10"/>
        <v>-0.52910083333333335</v>
      </c>
      <c r="C91" s="13">
        <f t="shared" si="10"/>
        <v>-0.24074050000000002</v>
      </c>
      <c r="D91" s="13">
        <f t="shared" si="10"/>
        <v>-5.3571500000000001E-2</v>
      </c>
      <c r="E91" s="13">
        <f t="shared" si="10"/>
        <v>-0.24074050000000002</v>
      </c>
      <c r="F91" s="13">
        <f t="shared" si="10"/>
        <v>-0.24074050000000002</v>
      </c>
      <c r="G91" s="13">
        <f t="shared" si="10"/>
        <v>-9.5238000000000017E-2</v>
      </c>
      <c r="H91" s="15">
        <v>2</v>
      </c>
    </row>
    <row r="92" spans="1:15" ht="15.6" x14ac:dyDescent="0.3">
      <c r="A92" s="12"/>
      <c r="B92" s="13">
        <f t="shared" si="10"/>
        <v>-0.52910083333333335</v>
      </c>
      <c r="C92" s="13">
        <f t="shared" si="10"/>
        <v>-0.24074050000000002</v>
      </c>
      <c r="D92" s="13">
        <f t="shared" si="10"/>
        <v>-5.3571500000000001E-2</v>
      </c>
      <c r="E92" s="13">
        <f t="shared" si="10"/>
        <v>-0.24074050000000002</v>
      </c>
      <c r="F92" s="13">
        <f t="shared" si="10"/>
        <v>-0.24074050000000002</v>
      </c>
      <c r="G92" s="13">
        <f t="shared" si="10"/>
        <v>-9.5238000000000017E-2</v>
      </c>
      <c r="H92" s="15">
        <v>2</v>
      </c>
    </row>
    <row r="93" spans="1:15" ht="15.6" x14ac:dyDescent="0.3">
      <c r="A93" s="4"/>
      <c r="B93" s="16">
        <v>1</v>
      </c>
      <c r="C93" s="16">
        <v>1</v>
      </c>
      <c r="D93" s="16">
        <v>1</v>
      </c>
      <c r="E93" s="16">
        <v>1</v>
      </c>
      <c r="F93" s="16">
        <v>1</v>
      </c>
      <c r="G93" s="16">
        <v>1</v>
      </c>
      <c r="H93" s="4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dimension ref="A1:R80"/>
  <sheetViews>
    <sheetView zoomScale="90" zoomScaleNormal="90" workbookViewId="0">
      <selection activeCell="M17" sqref="M17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135" t="s">
        <v>10</v>
      </c>
      <c r="B1" s="135"/>
      <c r="C1" s="135"/>
      <c r="D1" s="135"/>
      <c r="E1" s="135"/>
      <c r="F1" s="135"/>
      <c r="G1" s="135"/>
      <c r="H1" s="135"/>
      <c r="I1" s="135"/>
    </row>
    <row r="2" spans="1:18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12" t="s">
        <v>8</v>
      </c>
      <c r="L2" s="39" t="s">
        <v>12</v>
      </c>
    </row>
    <row r="3" spans="1:18" ht="15.6" x14ac:dyDescent="0.3">
      <c r="A3" s="12"/>
      <c r="B3" s="14">
        <v>1</v>
      </c>
      <c r="C3" s="14">
        <v>4</v>
      </c>
      <c r="D3" s="14">
        <v>0</v>
      </c>
      <c r="E3" s="14">
        <v>2</v>
      </c>
      <c r="F3" s="14">
        <v>0</v>
      </c>
      <c r="G3" s="14">
        <v>2</v>
      </c>
      <c r="H3" s="14">
        <v>3</v>
      </c>
      <c r="I3" s="15">
        <v>2</v>
      </c>
      <c r="L3" s="39" t="s">
        <v>9</v>
      </c>
      <c r="N3" s="132" t="s">
        <v>26</v>
      </c>
      <c r="O3" s="132"/>
      <c r="P3" s="132"/>
      <c r="Q3" s="132"/>
      <c r="R3" s="20">
        <v>0</v>
      </c>
    </row>
    <row r="4" spans="1:18" ht="15.6" x14ac:dyDescent="0.3">
      <c r="A4" s="12"/>
      <c r="B4" s="14">
        <v>0</v>
      </c>
      <c r="C4" s="14">
        <v>3</v>
      </c>
      <c r="D4" s="14">
        <v>0</v>
      </c>
      <c r="E4" s="14">
        <v>2</v>
      </c>
      <c r="F4" s="14">
        <v>0</v>
      </c>
      <c r="G4" s="14">
        <v>2</v>
      </c>
      <c r="H4" s="14">
        <v>7</v>
      </c>
      <c r="I4" s="15">
        <v>1</v>
      </c>
    </row>
    <row r="5" spans="1:18" ht="15.6" x14ac:dyDescent="0.3">
      <c r="A5" s="12"/>
      <c r="B5" s="14">
        <v>1</v>
      </c>
      <c r="C5" s="14">
        <v>2</v>
      </c>
      <c r="D5" s="14">
        <v>0</v>
      </c>
      <c r="E5" s="14">
        <v>0</v>
      </c>
      <c r="F5" s="14">
        <v>0</v>
      </c>
      <c r="G5" s="14">
        <v>1</v>
      </c>
      <c r="H5" s="14">
        <v>7</v>
      </c>
      <c r="I5" s="15">
        <v>2</v>
      </c>
    </row>
    <row r="6" spans="1:18" ht="15.6" x14ac:dyDescent="0.3">
      <c r="A6" s="12"/>
      <c r="B6" s="14">
        <v>1</v>
      </c>
      <c r="C6" s="14">
        <v>4</v>
      </c>
      <c r="D6" s="14">
        <v>0</v>
      </c>
      <c r="E6" s="14">
        <v>0</v>
      </c>
      <c r="F6" s="14">
        <v>1</v>
      </c>
      <c r="G6" s="14">
        <v>2</v>
      </c>
      <c r="H6" s="14">
        <v>7</v>
      </c>
      <c r="I6" s="15">
        <v>1</v>
      </c>
    </row>
    <row r="7" spans="1:18" ht="15.6" x14ac:dyDescent="0.3">
      <c r="A7" s="12"/>
      <c r="B7" s="14">
        <v>0</v>
      </c>
      <c r="C7" s="14">
        <v>2</v>
      </c>
      <c r="D7" s="14">
        <v>0</v>
      </c>
      <c r="E7" s="14">
        <v>2</v>
      </c>
      <c r="F7" s="14">
        <v>1</v>
      </c>
      <c r="G7" s="14">
        <v>1</v>
      </c>
      <c r="H7" s="14">
        <v>3</v>
      </c>
      <c r="I7" s="15">
        <v>1</v>
      </c>
    </row>
    <row r="8" spans="1:18" ht="15.6" x14ac:dyDescent="0.3">
      <c r="A8" s="12"/>
      <c r="B8" s="14">
        <v>1</v>
      </c>
      <c r="C8" s="14">
        <v>4</v>
      </c>
      <c r="D8" s="14">
        <v>0</v>
      </c>
      <c r="E8" s="14">
        <v>0</v>
      </c>
      <c r="F8" s="14">
        <v>0</v>
      </c>
      <c r="G8" s="14">
        <v>1</v>
      </c>
      <c r="H8" s="14">
        <v>7</v>
      </c>
      <c r="I8" s="15">
        <v>1</v>
      </c>
    </row>
    <row r="9" spans="1:18" ht="15.6" x14ac:dyDescent="0.3">
      <c r="A9" s="12"/>
      <c r="B9" s="14">
        <v>1</v>
      </c>
      <c r="C9" s="14">
        <v>3</v>
      </c>
      <c r="D9" s="14">
        <v>1</v>
      </c>
      <c r="E9" s="14">
        <v>2</v>
      </c>
      <c r="F9" s="14">
        <v>1</v>
      </c>
      <c r="G9" s="14">
        <v>2</v>
      </c>
      <c r="H9" s="14">
        <v>6</v>
      </c>
      <c r="I9" s="15">
        <v>2</v>
      </c>
    </row>
    <row r="10" spans="1:18" ht="15.6" x14ac:dyDescent="0.3">
      <c r="A10" s="12"/>
      <c r="B10" s="14">
        <v>1</v>
      </c>
      <c r="C10" s="14">
        <v>4</v>
      </c>
      <c r="D10" s="14">
        <v>0</v>
      </c>
      <c r="E10" s="14">
        <v>2</v>
      </c>
      <c r="F10" s="14">
        <v>1</v>
      </c>
      <c r="G10" s="14">
        <v>2</v>
      </c>
      <c r="H10" s="14">
        <v>7</v>
      </c>
      <c r="I10" s="15">
        <v>2</v>
      </c>
    </row>
    <row r="11" spans="1:18" ht="15.6" x14ac:dyDescent="0.3">
      <c r="A11" s="12"/>
      <c r="B11" s="14">
        <v>1</v>
      </c>
      <c r="C11" s="14">
        <v>4</v>
      </c>
      <c r="D11" s="14">
        <v>0</v>
      </c>
      <c r="E11" s="14">
        <v>2</v>
      </c>
      <c r="F11" s="14">
        <v>0</v>
      </c>
      <c r="G11" s="14">
        <v>2</v>
      </c>
      <c r="H11" s="14">
        <v>7</v>
      </c>
      <c r="I11" s="15">
        <v>2</v>
      </c>
    </row>
    <row r="12" spans="1:18" ht="15.6" x14ac:dyDescent="0.3">
      <c r="A12" s="12"/>
      <c r="B12" s="14">
        <v>0</v>
      </c>
      <c r="C12" s="14">
        <v>4</v>
      </c>
      <c r="D12" s="14">
        <v>0</v>
      </c>
      <c r="E12" s="14">
        <v>2</v>
      </c>
      <c r="F12" s="14">
        <v>0</v>
      </c>
      <c r="G12" s="14">
        <v>2</v>
      </c>
      <c r="H12" s="14">
        <v>7</v>
      </c>
      <c r="I12" s="15">
        <v>2</v>
      </c>
    </row>
    <row r="13" spans="1:18" ht="15.6" x14ac:dyDescent="0.3">
      <c r="A13" s="4"/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4"/>
    </row>
    <row r="17" spans="1:18" ht="15.6" x14ac:dyDescent="0.3">
      <c r="A17" s="135" t="s">
        <v>10</v>
      </c>
      <c r="B17" s="135"/>
      <c r="C17" s="135"/>
      <c r="D17" s="135"/>
      <c r="E17" s="135"/>
      <c r="F17" s="135"/>
      <c r="G17" s="135"/>
      <c r="H17" s="135"/>
      <c r="I17" s="135"/>
    </row>
    <row r="18" spans="1:18" ht="15.6" x14ac:dyDescent="0.3">
      <c r="A18" s="10" t="s">
        <v>5</v>
      </c>
      <c r="B18" s="21"/>
      <c r="C18" s="21"/>
      <c r="D18" s="21"/>
      <c r="E18" s="21"/>
      <c r="F18" s="21"/>
      <c r="G18" s="21"/>
      <c r="H18" s="21"/>
      <c r="I18" s="12" t="s">
        <v>8</v>
      </c>
    </row>
    <row r="19" spans="1:18" ht="15.6" x14ac:dyDescent="0.3">
      <c r="A19" s="12"/>
      <c r="B19" s="47">
        <v>0</v>
      </c>
      <c r="C19" s="47">
        <v>3</v>
      </c>
      <c r="D19" s="47">
        <v>0</v>
      </c>
      <c r="E19" s="47">
        <v>2</v>
      </c>
      <c r="F19" s="47">
        <v>0</v>
      </c>
      <c r="G19" s="47">
        <v>2</v>
      </c>
      <c r="H19" s="47">
        <v>7</v>
      </c>
      <c r="I19" s="15">
        <v>1</v>
      </c>
    </row>
    <row r="20" spans="1:18" ht="15.6" x14ac:dyDescent="0.3">
      <c r="A20" s="12"/>
      <c r="B20" s="47">
        <v>1</v>
      </c>
      <c r="C20" s="47">
        <v>4</v>
      </c>
      <c r="D20" s="47">
        <v>0</v>
      </c>
      <c r="E20" s="47">
        <v>0</v>
      </c>
      <c r="F20" s="47">
        <v>1</v>
      </c>
      <c r="G20" s="47">
        <v>2</v>
      </c>
      <c r="H20" s="47">
        <v>7</v>
      </c>
      <c r="I20" s="15">
        <v>1</v>
      </c>
    </row>
    <row r="21" spans="1:18" ht="15.6" x14ac:dyDescent="0.3">
      <c r="A21" s="12"/>
      <c r="B21" s="47">
        <v>0</v>
      </c>
      <c r="C21" s="47">
        <v>2</v>
      </c>
      <c r="D21" s="47">
        <v>0</v>
      </c>
      <c r="E21" s="47">
        <v>2</v>
      </c>
      <c r="F21" s="47">
        <v>1</v>
      </c>
      <c r="G21" s="47">
        <v>1</v>
      </c>
      <c r="H21" s="47">
        <v>3</v>
      </c>
      <c r="I21" s="15">
        <v>1</v>
      </c>
    </row>
    <row r="22" spans="1:18" ht="16.2" thickBot="1" x14ac:dyDescent="0.35">
      <c r="A22" s="29"/>
      <c r="B22" s="48">
        <v>1</v>
      </c>
      <c r="C22" s="48">
        <v>4</v>
      </c>
      <c r="D22" s="48">
        <v>0</v>
      </c>
      <c r="E22" s="48">
        <v>0</v>
      </c>
      <c r="F22" s="48">
        <v>0</v>
      </c>
      <c r="G22" s="48">
        <v>1</v>
      </c>
      <c r="H22" s="48">
        <v>7</v>
      </c>
      <c r="I22" s="25">
        <v>1</v>
      </c>
    </row>
    <row r="23" spans="1:18" ht="15.6" x14ac:dyDescent="0.3">
      <c r="A23" s="22"/>
      <c r="B23" s="49">
        <v>1</v>
      </c>
      <c r="C23" s="49">
        <v>4</v>
      </c>
      <c r="D23" s="49">
        <v>0</v>
      </c>
      <c r="E23" s="49">
        <v>2</v>
      </c>
      <c r="F23" s="49">
        <v>0</v>
      </c>
      <c r="G23" s="49">
        <v>2</v>
      </c>
      <c r="H23" s="49">
        <v>3</v>
      </c>
      <c r="I23" s="27">
        <v>2</v>
      </c>
    </row>
    <row r="24" spans="1:18" ht="15.6" x14ac:dyDescent="0.3">
      <c r="A24" s="12"/>
      <c r="B24" s="47">
        <v>1</v>
      </c>
      <c r="C24" s="47">
        <v>2</v>
      </c>
      <c r="D24" s="47">
        <v>0</v>
      </c>
      <c r="E24" s="47">
        <v>0</v>
      </c>
      <c r="F24" s="47">
        <v>0</v>
      </c>
      <c r="G24" s="47">
        <v>1</v>
      </c>
      <c r="H24" s="47">
        <v>7</v>
      </c>
      <c r="I24" s="15">
        <v>2</v>
      </c>
    </row>
    <row r="25" spans="1:18" ht="15.6" x14ac:dyDescent="0.3">
      <c r="A25" s="12"/>
      <c r="B25" s="47">
        <v>1</v>
      </c>
      <c r="C25" s="47">
        <v>3</v>
      </c>
      <c r="D25" s="47">
        <v>1</v>
      </c>
      <c r="E25" s="47">
        <v>2</v>
      </c>
      <c r="F25" s="47">
        <v>1</v>
      </c>
      <c r="G25" s="47">
        <v>2</v>
      </c>
      <c r="H25" s="47">
        <v>6</v>
      </c>
      <c r="I25" s="15">
        <v>2</v>
      </c>
    </row>
    <row r="26" spans="1:18" ht="15.6" x14ac:dyDescent="0.3">
      <c r="A26" s="12"/>
      <c r="B26" s="47">
        <v>1</v>
      </c>
      <c r="C26" s="47">
        <v>4</v>
      </c>
      <c r="D26" s="47">
        <v>0</v>
      </c>
      <c r="E26" s="47">
        <v>2</v>
      </c>
      <c r="F26" s="47">
        <v>1</v>
      </c>
      <c r="G26" s="47">
        <v>2</v>
      </c>
      <c r="H26" s="47">
        <v>7</v>
      </c>
      <c r="I26" s="15">
        <v>2</v>
      </c>
    </row>
    <row r="27" spans="1:18" ht="15.6" x14ac:dyDescent="0.3">
      <c r="A27" s="12"/>
      <c r="B27" s="47">
        <v>1</v>
      </c>
      <c r="C27" s="47">
        <v>4</v>
      </c>
      <c r="D27" s="47">
        <v>0</v>
      </c>
      <c r="E27" s="47">
        <v>2</v>
      </c>
      <c r="F27" s="47">
        <v>0</v>
      </c>
      <c r="G27" s="47">
        <v>2</v>
      </c>
      <c r="H27" s="47">
        <v>7</v>
      </c>
      <c r="I27" s="15">
        <v>2</v>
      </c>
    </row>
    <row r="28" spans="1:18" ht="15.6" x14ac:dyDescent="0.3">
      <c r="A28" s="12"/>
      <c r="B28" s="47">
        <v>0</v>
      </c>
      <c r="C28" s="47">
        <v>4</v>
      </c>
      <c r="D28" s="47">
        <v>0</v>
      </c>
      <c r="E28" s="47">
        <v>2</v>
      </c>
      <c r="F28" s="47">
        <v>0</v>
      </c>
      <c r="G28" s="47">
        <v>2</v>
      </c>
      <c r="H28" s="47">
        <v>7</v>
      </c>
      <c r="I28" s="15">
        <v>2</v>
      </c>
    </row>
    <row r="32" spans="1:18" ht="19.95" customHeight="1" x14ac:dyDescent="0.3">
      <c r="A32" s="143" t="s">
        <v>27</v>
      </c>
      <c r="B32" s="143"/>
      <c r="C32" s="143"/>
      <c r="D32" s="143"/>
      <c r="E32" s="143"/>
      <c r="F32" s="143"/>
      <c r="G32" s="143"/>
      <c r="H32" s="143"/>
      <c r="I32" s="143"/>
      <c r="L32" s="143" t="s">
        <v>35</v>
      </c>
      <c r="M32" s="143"/>
      <c r="N32" s="143"/>
      <c r="O32" s="143"/>
      <c r="P32" s="143"/>
      <c r="Q32" s="143"/>
      <c r="R32" s="143"/>
    </row>
    <row r="33" spans="1:18" ht="19.95" customHeight="1" x14ac:dyDescent="0.3">
      <c r="A33" s="34" t="s">
        <v>22</v>
      </c>
      <c r="B33" s="21" t="s">
        <v>0</v>
      </c>
      <c r="C33" s="21" t="s">
        <v>1</v>
      </c>
      <c r="D33" s="21" t="s">
        <v>0</v>
      </c>
      <c r="E33" s="21" t="s">
        <v>2</v>
      </c>
      <c r="F33" s="21" t="s">
        <v>0</v>
      </c>
      <c r="G33" s="21" t="s">
        <v>3</v>
      </c>
      <c r="H33" s="21" t="s">
        <v>4</v>
      </c>
      <c r="I33" s="22" t="s">
        <v>8</v>
      </c>
      <c r="L33" s="41" t="s">
        <v>28</v>
      </c>
      <c r="M33" s="41" t="s">
        <v>29</v>
      </c>
      <c r="N33" s="41" t="s">
        <v>30</v>
      </c>
      <c r="O33" s="41" t="s">
        <v>31</v>
      </c>
      <c r="P33" s="41" t="s">
        <v>32</v>
      </c>
      <c r="Q33" s="41" t="s">
        <v>33</v>
      </c>
      <c r="R33" s="41" t="s">
        <v>34</v>
      </c>
    </row>
    <row r="34" spans="1:18" ht="22.95" customHeight="1" x14ac:dyDescent="0.3">
      <c r="A34" s="12"/>
      <c r="B34" s="31" cm="1">
        <f t="array" ref="B34">IFERROR(SUMPRODUCT(((B$19:B$28)*1=INDEX($L$34:$L$35,INT((ROW()-34)/2)+1))*((($I$19:$I$28)*1)=1+MOD(ROW()-34,2))),"")</f>
        <v>2</v>
      </c>
      <c r="C34" s="31" cm="1">
        <f t="array" ref="C34">IFERROR(SUMPRODUCT(((C$19:C$28)*1=INDEX($M$34:$M$36,INT((ROW()-34)/2)+1))*((($I$19:$I$28)*1)=1+MOD(ROW()-34,2))),"")</f>
        <v>1</v>
      </c>
      <c r="D34" s="31" cm="1">
        <f t="array" ref="D34">IFERROR(SUMPRODUCT(((D$19:D$28)*1=INDEX($N$34:$N$35,INT((ROW()-34)/2)+1))*((($I$19:$I$28)*1)=1+MOD(ROW()-34,2))),"")</f>
        <v>4</v>
      </c>
      <c r="E34" s="31" cm="1">
        <f t="array" ref="E34">IFERROR(SUMPRODUCT(((E$19:E$28)*1=INDEX($O$34:$O$35,INT((ROW()-34)/2)+1))*((($I$19:$I$28)*1)=1+MOD(ROW()-34,2))),"")</f>
        <v>2</v>
      </c>
      <c r="F34" s="31" cm="1">
        <f t="array" ref="F34">IFERROR(SUMPRODUCT(((F$19:F$28)*1=INDEX($P$34:$P$35,INT((ROW()-34)/2)+1))*((($I$19:$I$28)*1)=1+MOD(ROW()-34,2))),"")</f>
        <v>2</v>
      </c>
      <c r="G34" s="31" cm="1">
        <f t="array" ref="G34">IFERROR(SUMPRODUCT(((G$19:G$28)*1=INDEX($Q$34:$Q$35,INT((ROW()-34)/2)+1))*((($I$19:$I$28)*1)=1+MOD(ROW()-34,2))),"")</f>
        <v>2</v>
      </c>
      <c r="H34" s="31" cm="1">
        <f t="array" ref="H34">IFERROR(SUMPRODUCT(((H$19:H$28)*1=INDEX($R$34:$R$36,INT((ROW()-34)/2)+1))*((($I$19:$I$28)*1)=1+MOD(ROW()-34,2))),"")</f>
        <v>1</v>
      </c>
      <c r="I34" s="15">
        <v>1</v>
      </c>
      <c r="L34" s="40">
        <v>0</v>
      </c>
      <c r="M34" s="40">
        <v>2</v>
      </c>
      <c r="N34" s="40">
        <v>0</v>
      </c>
      <c r="O34" s="40">
        <v>0</v>
      </c>
      <c r="P34" s="40">
        <v>0</v>
      </c>
      <c r="Q34" s="40">
        <v>1</v>
      </c>
      <c r="R34" s="40">
        <v>3</v>
      </c>
    </row>
    <row r="35" spans="1:18" ht="22.95" customHeight="1" thickBot="1" x14ac:dyDescent="0.35">
      <c r="A35" s="29"/>
      <c r="B35" s="32" cm="1">
        <f t="array" ref="B35">IFERROR(SUMPRODUCT(((B$19:B$28)*1=INDEX($L$34:$L$35,INT((ROW()-34)/2)+1))*((($I$19:$I$28)*1)=1+MOD(ROW()-34,2))),"")</f>
        <v>1</v>
      </c>
      <c r="C35" s="32" cm="1">
        <f t="array" ref="C35">IFERROR(SUMPRODUCT(((C$19:C$28)*1=INDEX($M$34:$M$36,INT((ROW()-34)/2)+1))*((($I$19:$I$28)*1)=1+MOD(ROW()-34,2))),"")</f>
        <v>1</v>
      </c>
      <c r="D35" s="32" cm="1">
        <f t="array" ref="D35">IFERROR(SUMPRODUCT(((D$19:D$28)*1=INDEX($N$34:$N$35,INT((ROW()-34)/2)+1))*((($I$19:$I$28)*1)=1+MOD(ROW()-34,2))),"")</f>
        <v>5</v>
      </c>
      <c r="E35" s="32" cm="1">
        <f t="array" ref="E35">IFERROR(SUMPRODUCT(((E$19:E$28)*1=INDEX($O$34:$O$35,INT((ROW()-34)/2)+1))*((($I$19:$I$28)*1)=1+MOD(ROW()-34,2))),"")</f>
        <v>1</v>
      </c>
      <c r="F35" s="32" cm="1">
        <f t="array" ref="F35">IFERROR(SUMPRODUCT(((F$19:F$28)*1=INDEX($P$34:$P$35,INT((ROW()-34)/2)+1))*((($I$19:$I$28)*1)=1+MOD(ROW()-34,2))),"")</f>
        <v>4</v>
      </c>
      <c r="G35" s="32" cm="1">
        <f t="array" ref="G35">IFERROR(SUMPRODUCT(((G$19:G$28)*1=INDEX($Q$34:$Q$35,INT((ROW()-34)/2)+1))*((($I$19:$I$28)*1)=1+MOD(ROW()-34,2))),"")</f>
        <v>1</v>
      </c>
      <c r="H35" s="32" cm="1">
        <f t="array" ref="H35">IFERROR(SUMPRODUCT(((H$19:H$28)*1=INDEX($R$34:$R$36,INT((ROW()-34)/2)+1))*((($I$19:$I$28)*1)=1+MOD(ROW()-34,2))),"")</f>
        <v>1</v>
      </c>
      <c r="I35" s="25">
        <v>2</v>
      </c>
      <c r="L35" s="40">
        <v>1</v>
      </c>
      <c r="M35" s="40">
        <v>3</v>
      </c>
      <c r="N35" s="40">
        <v>1</v>
      </c>
      <c r="O35" s="40">
        <v>2</v>
      </c>
      <c r="P35" s="40">
        <v>1</v>
      </c>
      <c r="Q35" s="40">
        <v>2</v>
      </c>
      <c r="R35" s="40">
        <v>6</v>
      </c>
    </row>
    <row r="36" spans="1:18" ht="22.95" customHeight="1" x14ac:dyDescent="0.3">
      <c r="A36" s="22"/>
      <c r="B36" s="33" cm="1">
        <f t="array" ref="B36">IFERROR(SUMPRODUCT(((B$19:B$28)*1=INDEX($L$34:$L$35,INT((ROW()-34)/2)+1))*((($I$19:$I$28)*1)=1+MOD(ROW()-34,2))),"")</f>
        <v>2</v>
      </c>
      <c r="C36" s="33" cm="1">
        <f t="array" ref="C36">IFERROR(SUMPRODUCT(((C$19:C$28)*1=INDEX($M$34:$M$36,INT((ROW()-34)/2)+1))*((($I$19:$I$28)*1)=1+MOD(ROW()-34,2))),"")</f>
        <v>1</v>
      </c>
      <c r="D36" s="33" cm="1">
        <f t="array" ref="D36">IFERROR(SUMPRODUCT(((D$19:D$28)*1=INDEX($N$34:$N$35,INT((ROW()-34)/2)+1))*((($I$19:$I$28)*1)=1+MOD(ROW()-34,2))),"")</f>
        <v>0</v>
      </c>
      <c r="E36" s="33" cm="1">
        <f t="array" ref="E36">IFERROR(SUMPRODUCT(((E$19:E$28)*1=INDEX($O$34:$O$35,INT((ROW()-34)/2)+1))*((($I$19:$I$28)*1)=1+MOD(ROW()-34,2))),"")</f>
        <v>2</v>
      </c>
      <c r="F36" s="33" cm="1">
        <f t="array" ref="F36">IFERROR(SUMPRODUCT(((F$19:F$28)*1=INDEX($P$34:$P$35,INT((ROW()-34)/2)+1))*((($I$19:$I$28)*1)=1+MOD(ROW()-34,2))),"")</f>
        <v>2</v>
      </c>
      <c r="G36" s="33" cm="1">
        <f t="array" ref="G36">IFERROR(SUMPRODUCT(((G$19:G$28)*1=INDEX($Q$34:$Q$35,INT((ROW()-34)/2)+1))*((($I$19:$I$28)*1)=1+MOD(ROW()-34,2))),"")</f>
        <v>2</v>
      </c>
      <c r="H36" s="33" cm="1">
        <f t="array" ref="H36">IFERROR(SUMPRODUCT(((H$19:H$28)*1=INDEX($R$34:$R$36,INT((ROW()-34)/2)+1))*((($I$19:$I$28)*1)=1+MOD(ROW()-34,2))),"")</f>
        <v>0</v>
      </c>
      <c r="I36" s="27">
        <v>1</v>
      </c>
      <c r="L36" s="40"/>
      <c r="M36" s="40">
        <v>4</v>
      </c>
      <c r="N36" s="40"/>
      <c r="O36" s="40"/>
      <c r="P36" s="40"/>
      <c r="Q36" s="40"/>
      <c r="R36" s="40">
        <v>7</v>
      </c>
    </row>
    <row r="37" spans="1:18" ht="22.95" customHeight="1" thickBot="1" x14ac:dyDescent="0.35">
      <c r="A37" s="29"/>
      <c r="B37" s="32" cm="1">
        <f t="array" ref="B37">IFERROR(SUMPRODUCT(((B$19:B$28)*1=INDEX($L$34:$L$35,INT((ROW()-34)/2)+1))*((($I$19:$I$28)*1)=1+MOD(ROW()-34,2))),"")</f>
        <v>5</v>
      </c>
      <c r="C37" s="32" cm="1">
        <f t="array" ref="C37">IFERROR(SUMPRODUCT(((C$19:C$28)*1=INDEX($M$34:$M$36,INT((ROW()-34)/2)+1))*((($I$19:$I$28)*1)=1+MOD(ROW()-34,2))),"")</f>
        <v>1</v>
      </c>
      <c r="D37" s="32" cm="1">
        <f t="array" ref="D37">IFERROR(SUMPRODUCT(((D$19:D$28)*1=INDEX($N$34:$N$35,INT((ROW()-34)/2)+1))*((($I$19:$I$28)*1)=1+MOD(ROW()-34,2))),"")</f>
        <v>1</v>
      </c>
      <c r="E37" s="32" cm="1">
        <f t="array" ref="E37">IFERROR(SUMPRODUCT(((E$19:E$28)*1=INDEX($O$34:$O$35,INT((ROW()-34)/2)+1))*((($I$19:$I$28)*1)=1+MOD(ROW()-34,2))),"")</f>
        <v>5</v>
      </c>
      <c r="F37" s="32" cm="1">
        <f t="array" ref="F37">IFERROR(SUMPRODUCT(((F$19:F$28)*1=INDEX($P$34:$P$35,INT((ROW()-34)/2)+1))*((($I$19:$I$28)*1)=1+MOD(ROW()-34,2))),"")</f>
        <v>2</v>
      </c>
      <c r="G37" s="32" cm="1">
        <f t="array" ref="G37">IFERROR(SUMPRODUCT(((G$19:G$28)*1=INDEX($Q$34:$Q$35,INT((ROW()-34)/2)+1))*((($I$19:$I$28)*1)=1+MOD(ROW()-34,2))),"")</f>
        <v>5</v>
      </c>
      <c r="H37" s="32" cm="1">
        <f t="array" ref="H37">IFERROR(SUMPRODUCT(((H$19:H$28)*1=INDEX($R$34:$R$36,INT((ROW()-34)/2)+1))*((($I$19:$I$28)*1)=1+MOD(ROW()-34,2))),"")</f>
        <v>1</v>
      </c>
      <c r="I37" s="25">
        <v>2</v>
      </c>
    </row>
    <row r="38" spans="1:18" ht="22.95" customHeight="1" x14ac:dyDescent="0.3">
      <c r="A38" s="22"/>
      <c r="B38" s="33"/>
      <c r="C38" s="33" cm="1">
        <f t="array" ref="C38">IFERROR(SUMPRODUCT(((C$19:C$28)*1=INDEX($M$34:$M$36,INT((ROW()-34)/2)+1))*((($I$19:$I$28)*1)=1+MOD(ROW()-34,2))),"")</f>
        <v>2</v>
      </c>
      <c r="D38" s="33"/>
      <c r="E38" s="33"/>
      <c r="F38" s="33"/>
      <c r="G38" s="33"/>
      <c r="H38" s="33" cm="1">
        <f t="array" ref="H38">IFERROR(SUMPRODUCT(((H$19:H$28)*1=INDEX($R$34:$R$36,INT((ROW()-34)/2)+1))*((($I$19:$I$28)*1)=1+MOD(ROW()-34,2))),"")</f>
        <v>3</v>
      </c>
      <c r="I38" s="27">
        <v>1</v>
      </c>
    </row>
    <row r="39" spans="1:18" ht="22.95" customHeight="1" thickBot="1" x14ac:dyDescent="0.35">
      <c r="A39" s="29"/>
      <c r="B39" s="32"/>
      <c r="C39" s="32" cm="1">
        <f t="array" ref="C39">IFERROR(SUMPRODUCT(((C$19:C$28)*1=INDEX($M$34:$M$36,INT((ROW()-34)/2)+1))*((($I$19:$I$28)*1)=1+MOD(ROW()-34,2))),"")</f>
        <v>4</v>
      </c>
      <c r="D39" s="32"/>
      <c r="E39" s="32"/>
      <c r="F39" s="32"/>
      <c r="G39" s="32"/>
      <c r="H39" s="32" cm="1">
        <f t="array" ref="H39">IFERROR(SUMPRODUCT(((H$19:H$28)*1=INDEX($R$34:$R$36,INT((ROW()-34)/2)+1))*((($I$19:$I$28)*1)=1+MOD(ROW()-34,2))),"")</f>
        <v>4</v>
      </c>
      <c r="I39" s="15">
        <v>2</v>
      </c>
    </row>
    <row r="41" spans="1:18" ht="14.4" customHeight="1" x14ac:dyDescent="0.3"/>
    <row r="43" spans="1:18" ht="18" customHeight="1" x14ac:dyDescent="0.3">
      <c r="A43" s="12"/>
      <c r="B43" s="11"/>
      <c r="C43" s="11"/>
      <c r="D43" s="11"/>
      <c r="E43" s="11"/>
      <c r="F43" s="11"/>
      <c r="G43" s="11"/>
      <c r="H43" s="11"/>
    </row>
    <row r="44" spans="1:18" ht="19.95" customHeight="1" x14ac:dyDescent="0.3">
      <c r="A44" s="12"/>
      <c r="B44" s="45">
        <f t="shared" ref="B44:H44" si="0">COUNTA(_xlfn.UNIQUE(B3:B12))</f>
        <v>2</v>
      </c>
      <c r="C44" s="45">
        <f t="shared" si="0"/>
        <v>3</v>
      </c>
      <c r="D44" s="45">
        <f t="shared" si="0"/>
        <v>2</v>
      </c>
      <c r="E44" s="45">
        <f t="shared" si="0"/>
        <v>2</v>
      </c>
      <c r="F44" s="45">
        <f t="shared" si="0"/>
        <v>2</v>
      </c>
      <c r="G44" s="45">
        <f t="shared" si="0"/>
        <v>2</v>
      </c>
      <c r="H44" s="45">
        <f t="shared" si="0"/>
        <v>3</v>
      </c>
      <c r="J44" s="42" t="s">
        <v>6</v>
      </c>
      <c r="K44" s="43">
        <v>4</v>
      </c>
    </row>
    <row r="45" spans="1:18" ht="19.95" customHeight="1" x14ac:dyDescent="0.3">
      <c r="A45" s="12"/>
      <c r="B45" s="45">
        <f t="shared" ref="B45:H45" si="1">COUNTA(_xlfn.UNIQUE(B19:B22))</f>
        <v>2</v>
      </c>
      <c r="C45" s="45">
        <f t="shared" si="1"/>
        <v>3</v>
      </c>
      <c r="D45" s="45">
        <f t="shared" si="1"/>
        <v>1</v>
      </c>
      <c r="E45" s="45">
        <f t="shared" si="1"/>
        <v>2</v>
      </c>
      <c r="F45" s="45">
        <f t="shared" si="1"/>
        <v>2</v>
      </c>
      <c r="G45" s="45">
        <f t="shared" si="1"/>
        <v>2</v>
      </c>
      <c r="H45" s="45">
        <f t="shared" si="1"/>
        <v>2</v>
      </c>
      <c r="J45" s="42" t="s">
        <v>7</v>
      </c>
      <c r="K45" s="44">
        <v>6</v>
      </c>
    </row>
    <row r="46" spans="1:18" ht="19.95" customHeight="1" x14ac:dyDescent="0.3">
      <c r="A46" s="12"/>
      <c r="B46" s="46">
        <f t="shared" ref="B46:H46" si="2">COUNTA(_xlfn.UNIQUE(B23:B28))</f>
        <v>2</v>
      </c>
      <c r="C46" s="46">
        <f t="shared" si="2"/>
        <v>3</v>
      </c>
      <c r="D46" s="46">
        <f t="shared" si="2"/>
        <v>2</v>
      </c>
      <c r="E46" s="46">
        <f t="shared" si="2"/>
        <v>2</v>
      </c>
      <c r="F46" s="46">
        <f t="shared" si="2"/>
        <v>2</v>
      </c>
      <c r="G46" s="46">
        <f t="shared" si="2"/>
        <v>2</v>
      </c>
      <c r="H46" s="46">
        <f t="shared" si="2"/>
        <v>3</v>
      </c>
    </row>
    <row r="47" spans="1:18" ht="19.95" customHeight="1" x14ac:dyDescent="0.3">
      <c r="A47" s="12"/>
      <c r="B47" s="45">
        <f t="shared" ref="B47:H48" si="3">IFERROR(IF(B$44&gt;2, ($K44-B45+1)*($K44-B45), $K44*($K44-1)), "Error!!!")</f>
        <v>12</v>
      </c>
      <c r="C47" s="45">
        <f t="shared" si="3"/>
        <v>2</v>
      </c>
      <c r="D47" s="45">
        <f t="shared" si="3"/>
        <v>12</v>
      </c>
      <c r="E47" s="45">
        <f t="shared" si="3"/>
        <v>12</v>
      </c>
      <c r="F47" s="45">
        <f t="shared" si="3"/>
        <v>12</v>
      </c>
      <c r="G47" s="45">
        <f t="shared" si="3"/>
        <v>12</v>
      </c>
      <c r="H47" s="45">
        <f t="shared" si="3"/>
        <v>6</v>
      </c>
    </row>
    <row r="48" spans="1:18" ht="19.95" customHeight="1" x14ac:dyDescent="0.3">
      <c r="A48" s="12"/>
      <c r="B48" s="45">
        <f t="shared" si="3"/>
        <v>30</v>
      </c>
      <c r="C48" s="45">
        <f t="shared" si="3"/>
        <v>12</v>
      </c>
      <c r="D48" s="45">
        <f t="shared" si="3"/>
        <v>30</v>
      </c>
      <c r="E48" s="45">
        <f t="shared" si="3"/>
        <v>30</v>
      </c>
      <c r="F48" s="45">
        <f t="shared" si="3"/>
        <v>30</v>
      </c>
      <c r="G48" s="45">
        <f t="shared" si="3"/>
        <v>30</v>
      </c>
      <c r="H48" s="45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143" t="s">
        <v>36</v>
      </c>
      <c r="B52" s="143"/>
      <c r="C52" s="143"/>
      <c r="D52" s="143"/>
      <c r="E52" s="143"/>
      <c r="F52" s="143"/>
      <c r="G52" s="143"/>
      <c r="H52" s="143"/>
    </row>
    <row r="53" spans="1:8" ht="18" customHeight="1" x14ac:dyDescent="0.3">
      <c r="A53" s="34" t="s">
        <v>37</v>
      </c>
      <c r="B53" s="21"/>
      <c r="C53" s="21"/>
      <c r="D53" s="21"/>
      <c r="E53" s="21"/>
      <c r="F53" s="21"/>
      <c r="G53" s="21"/>
      <c r="H53" s="21"/>
    </row>
    <row r="54" spans="1:8" ht="19.95" customHeight="1" x14ac:dyDescent="0.3">
      <c r="A54" s="12"/>
      <c r="B54" s="8">
        <f t="shared" ref="B54:H54" si="4">1-((B34*B35+B36*B37+B38*B39)/(2*$K$44*$K$45))</f>
        <v>0.75</v>
      </c>
      <c r="C54" s="8">
        <f t="shared" si="4"/>
        <v>0.79166666666666663</v>
      </c>
      <c r="D54" s="8">
        <f t="shared" si="4"/>
        <v>0.58333333333333326</v>
      </c>
      <c r="E54" s="8">
        <f t="shared" si="4"/>
        <v>0.75</v>
      </c>
      <c r="F54" s="8">
        <f t="shared" si="4"/>
        <v>0.75</v>
      </c>
      <c r="G54" s="8">
        <f t="shared" si="4"/>
        <v>0.75</v>
      </c>
      <c r="H54" s="8">
        <f t="shared" si="4"/>
        <v>0.72916666666666674</v>
      </c>
    </row>
    <row r="55" spans="1:8" ht="19.95" customHeight="1" x14ac:dyDescent="0.3">
      <c r="A55" s="12"/>
      <c r="B55" s="8">
        <f>IFERROR(IF(B47+B48&gt;0, ((B34*(B34-1)+B35*(B35-1))+(B36*(B36-1)+B37*(B37-1))+(B38*(B38-1)+B39*(B39-1)))/(B47+B48), 0), "Error!!!")</f>
        <v>0.5714285714285714</v>
      </c>
      <c r="C55" s="8">
        <f>IFERROR(IF(C47+C48&gt;0, ((C34*(C34-1)+C35*(C35-1))+(C36*(C36-1)+C37*(C37-1))+(C38*(C38-1)+C39*(C39-1)))/(C47+C48), 0), "Error!!!")</f>
        <v>1</v>
      </c>
      <c r="D55" s="8">
        <f t="shared" ref="D55:H55" si="5">IFERROR(IF(D47+D48&gt;0, ((D34*(D34-1)+D35*(D35-1))+(D36*(D36-1)+D37*(D37-1))+(D38*(D38-1)+D39*(D39-1)))/(D47+D48), 0), "Error!!!")</f>
        <v>0.76190476190476186</v>
      </c>
      <c r="E55" s="8">
        <f t="shared" si="5"/>
        <v>0.5714285714285714</v>
      </c>
      <c r="F55" s="8">
        <f t="shared" si="5"/>
        <v>0.42857142857142855</v>
      </c>
      <c r="G55" s="8">
        <f t="shared" si="5"/>
        <v>0.5714285714285714</v>
      </c>
      <c r="H55" s="8">
        <f t="shared" si="5"/>
        <v>1</v>
      </c>
    </row>
    <row r="56" spans="1:8" ht="19.95" customHeight="1" x14ac:dyDescent="0.3">
      <c r="A56" s="22"/>
      <c r="B56" s="9">
        <f>B54*B55</f>
        <v>0.42857142857142855</v>
      </c>
      <c r="C56" s="9">
        <f>C54*C55</f>
        <v>0.79166666666666663</v>
      </c>
      <c r="D56" s="9">
        <f t="shared" ref="D56:F56" si="6">D54*D55</f>
        <v>0.44444444444444436</v>
      </c>
      <c r="E56" s="9">
        <f t="shared" si="6"/>
        <v>0.42857142857142855</v>
      </c>
      <c r="F56" s="9">
        <f t="shared" si="6"/>
        <v>0.3214285714285714</v>
      </c>
      <c r="G56" s="9">
        <f>G54*G55</f>
        <v>0.42857142857142855</v>
      </c>
      <c r="H56" s="9">
        <f>H54*H55</f>
        <v>0.72916666666666674</v>
      </c>
    </row>
    <row r="60" spans="1:8" ht="19.95" customHeight="1" x14ac:dyDescent="0.3">
      <c r="A60" s="136" t="s">
        <v>38</v>
      </c>
      <c r="B60" s="136"/>
      <c r="C60" s="136"/>
      <c r="D60" s="136"/>
      <c r="E60" s="136"/>
      <c r="F60" s="136"/>
      <c r="G60" s="136"/>
      <c r="H60" s="136"/>
    </row>
    <row r="61" spans="1:8" ht="34.799999999999997" customHeight="1" x14ac:dyDescent="0.3">
      <c r="A61" s="52" t="s">
        <v>40</v>
      </c>
      <c r="B61" s="21" t="s">
        <v>0</v>
      </c>
      <c r="C61" s="21" t="s">
        <v>1</v>
      </c>
      <c r="D61" s="21" t="s">
        <v>0</v>
      </c>
      <c r="E61" s="21" t="s">
        <v>2</v>
      </c>
      <c r="F61" s="21" t="s">
        <v>0</v>
      </c>
      <c r="G61" s="21" t="s">
        <v>3</v>
      </c>
      <c r="H61" s="21" t="s">
        <v>4</v>
      </c>
    </row>
    <row r="62" spans="1:8" ht="19.95" customHeight="1" x14ac:dyDescent="0.3">
      <c r="A62" s="12"/>
      <c r="B62" s="50">
        <f>B$56*(B$34/COUNTIF($I$3:$I$12,1) - B$35/COUNTIF($I$3:$I$12,2))</f>
        <v>0.14285714285714288</v>
      </c>
      <c r="C62" s="50">
        <f>C$56*(C$34/COUNTIF($I$3:$I$12,1) - C$35/COUNTIF($I$3:$I$12,2))</f>
        <v>6.5972222222222224E-2</v>
      </c>
      <c r="D62" s="50">
        <f t="shared" ref="D62:G62" si="7">D$56*(D$34/COUNTIF($I$3:$I$12,1) - D$35/COUNTIF($I$3:$I$12,2))</f>
        <v>7.4074074074074042E-2</v>
      </c>
      <c r="E62" s="50">
        <f>E$56*(E$34/COUNTIF($I$3:$I$12,1) - E$35/COUNTIF($I$3:$I$12,2))</f>
        <v>0.14285714285714288</v>
      </c>
      <c r="F62" s="50">
        <f t="shared" si="7"/>
        <v>-5.3571428571428555E-2</v>
      </c>
      <c r="G62" s="50">
        <f t="shared" si="7"/>
        <v>0.14285714285714288</v>
      </c>
      <c r="H62" s="50">
        <f>H$56*(H$34/COUNTIF($I$3:$I$12,1) - H$35/COUNTIF($I$3:$I$12,2))</f>
        <v>6.0763888888888902E-2</v>
      </c>
    </row>
    <row r="63" spans="1:8" ht="19.95" customHeight="1" x14ac:dyDescent="0.3">
      <c r="A63" s="12"/>
      <c r="B63" s="50">
        <f>B$56*(B$36/COUNTIF($I$3:$I$12,1) - B$37/COUNTIF($I$3:$I$12,2))</f>
        <v>-0.14285714285714288</v>
      </c>
      <c r="C63" s="50">
        <f>C$56*(C$36/COUNTIF($I$3:$I$12,1) - C$37/COUNTIF($I$3:$I$12,2))</f>
        <v>6.5972222222222224E-2</v>
      </c>
      <c r="D63" s="50">
        <f t="shared" ref="D63:H63" si="8">D$56*(D$36/COUNTIF($I$3:$I$12,1) - D$37/COUNTIF($I$3:$I$12,2))</f>
        <v>-7.4074074074074056E-2</v>
      </c>
      <c r="E63" s="50">
        <f t="shared" si="8"/>
        <v>-0.14285714285714288</v>
      </c>
      <c r="F63" s="50">
        <f t="shared" si="8"/>
        <v>5.3571428571428575E-2</v>
      </c>
      <c r="G63" s="50">
        <f t="shared" si="8"/>
        <v>-0.14285714285714288</v>
      </c>
      <c r="H63" s="50">
        <f t="shared" si="8"/>
        <v>-0.12152777777777779</v>
      </c>
    </row>
    <row r="64" spans="1:8" ht="19.95" customHeight="1" x14ac:dyDescent="0.3">
      <c r="A64" s="12"/>
      <c r="B64" s="50"/>
      <c r="C64" s="50">
        <f>C$56*(C$38/COUNTIF($I$3:$I$12,1) - C$39/COUNTIF($I$3:$I$12,2))</f>
        <v>-0.13194444444444442</v>
      </c>
      <c r="D64" s="50"/>
      <c r="E64" s="50"/>
      <c r="F64" s="50"/>
      <c r="G64" s="50"/>
      <c r="H64" s="50">
        <f>H$56*(H$38/COUNTIF($I$3:$I$12,1) - H$39/COUNTIF($I$3:$I$12,2))</f>
        <v>6.0763888888888923E-2</v>
      </c>
    </row>
    <row r="68" spans="1:9" ht="15.6" x14ac:dyDescent="0.3">
      <c r="A68" s="143" t="s">
        <v>41</v>
      </c>
      <c r="B68" s="143"/>
      <c r="C68" s="143"/>
      <c r="D68" s="143"/>
      <c r="E68" s="143"/>
      <c r="F68" s="143"/>
      <c r="G68" s="143"/>
      <c r="H68" s="143"/>
      <c r="I68" s="143"/>
    </row>
    <row r="69" spans="1:9" ht="15.6" x14ac:dyDescent="0.3">
      <c r="A69" s="10" t="s">
        <v>5</v>
      </c>
      <c r="B69" s="21"/>
      <c r="C69" s="21"/>
      <c r="D69" s="21"/>
      <c r="E69" s="21"/>
      <c r="F69" s="21"/>
      <c r="G69" s="21"/>
      <c r="H69" s="21"/>
      <c r="I69" s="12" t="s">
        <v>8</v>
      </c>
    </row>
    <row r="70" spans="1:9" ht="15.6" x14ac:dyDescent="0.3">
      <c r="A70" s="12"/>
      <c r="B70" s="14">
        <f>IFERROR(IF(B3=0, B$62, IF(B3=1, B$63, "Error!!!")), "Error!!!")</f>
        <v>-0.14285714285714288</v>
      </c>
      <c r="C70" s="14">
        <f>IFERROR(IF(C3=2, C$62, IF(C3=3, C$63, IF(C3=4, C$64, "Error!!!"))), "Error!!!")</f>
        <v>-0.13194444444444442</v>
      </c>
      <c r="D70" s="14">
        <f>IFERROR(IF(D3=0, D$62, IF(D3=1, D$63, "Error!!!")), "Error!!!")</f>
        <v>7.4074074074074042E-2</v>
      </c>
      <c r="E70" s="14">
        <f>IFERROR(IF(E3=0, E$62, IF(E3=2, E$63, "Error!!!")), "Error!!!")</f>
        <v>-0.14285714285714288</v>
      </c>
      <c r="F70" s="14">
        <f>IFERROR(IF(F3=0, F$62, IF(F3=1, F$63, "Error!!!")), "Error!!!")</f>
        <v>-5.3571428571428555E-2</v>
      </c>
      <c r="G70" s="14">
        <f>IFERROR(IF(G3=1, G$62, IF(G3=2, G$63, "Error!!!")), "Error!!!")</f>
        <v>-0.14285714285714288</v>
      </c>
      <c r="H70" s="14">
        <f>IFERROR(IF(H3=3, H$62, IF(H3=6, H$63, IF(H3=7, H$64, "Error!!!"))), "Error!!!")</f>
        <v>6.0763888888888902E-2</v>
      </c>
      <c r="I70" s="15">
        <v>2</v>
      </c>
    </row>
    <row r="71" spans="1:9" ht="15.6" x14ac:dyDescent="0.3">
      <c r="A71" s="12"/>
      <c r="B71" s="14">
        <f t="shared" ref="B71:B79" si="9">IFERROR(IF(B4=0, B$62, IF(B4=1, B$63, "Error!!!")), "Error!!!")</f>
        <v>0.14285714285714288</v>
      </c>
      <c r="C71" s="14">
        <f t="shared" ref="C71:C79" si="10">IFERROR(IF(C4=2, C$62, IF(C4=3, C$63, IF(C4=4, C$64, "Error!!!"))), "Error!!!")</f>
        <v>6.5972222222222224E-2</v>
      </c>
      <c r="D71" s="14">
        <f t="shared" ref="D71:D79" si="11">IFERROR(IF(D4=0, D$62, IF(D4=1, D$63, "Error!!!")), "Error!!!")</f>
        <v>7.4074074074074042E-2</v>
      </c>
      <c r="E71" s="14">
        <f t="shared" ref="E71:E79" si="12">IFERROR(IF(E4=0, E$62, IF(E4=2, E$63, "Error!!!")), "Error!!!")</f>
        <v>-0.14285714285714288</v>
      </c>
      <c r="F71" s="14">
        <f t="shared" ref="F71:F79" si="13">IFERROR(IF(F4=0, F$62, IF(F4=1, F$63, "Error!!!")), "Error!!!")</f>
        <v>-5.3571428571428555E-2</v>
      </c>
      <c r="G71" s="14">
        <f t="shared" ref="G71:G79" si="14">IFERROR(IF(G4=1, G$62, IF(G4=2, G$63, "Error!!!")), "Error!!!")</f>
        <v>-0.14285714285714288</v>
      </c>
      <c r="H71" s="14">
        <f t="shared" ref="H71:H79" si="15">IFERROR(IF(H4=3, H$62, IF(H4=6, H$63, IF(H4=7, H$64, "Error!!!"))), "Error!!!")</f>
        <v>6.0763888888888923E-2</v>
      </c>
      <c r="I71" s="15">
        <v>1</v>
      </c>
    </row>
    <row r="72" spans="1:9" ht="15.6" x14ac:dyDescent="0.3">
      <c r="A72" s="12"/>
      <c r="B72" s="14">
        <f t="shared" si="9"/>
        <v>-0.14285714285714288</v>
      </c>
      <c r="C72" s="14">
        <f t="shared" si="10"/>
        <v>6.5972222222222224E-2</v>
      </c>
      <c r="D72" s="14">
        <f t="shared" si="11"/>
        <v>7.4074074074074042E-2</v>
      </c>
      <c r="E72" s="14">
        <f t="shared" si="12"/>
        <v>0.14285714285714288</v>
      </c>
      <c r="F72" s="14">
        <f t="shared" si="13"/>
        <v>-5.3571428571428555E-2</v>
      </c>
      <c r="G72" s="14">
        <f t="shared" si="14"/>
        <v>0.14285714285714288</v>
      </c>
      <c r="H72" s="14">
        <f t="shared" si="15"/>
        <v>6.0763888888888923E-2</v>
      </c>
      <c r="I72" s="15">
        <v>2</v>
      </c>
    </row>
    <row r="73" spans="1:9" ht="15.6" x14ac:dyDescent="0.3">
      <c r="A73" s="12"/>
      <c r="B73" s="14">
        <f t="shared" si="9"/>
        <v>-0.14285714285714288</v>
      </c>
      <c r="C73" s="14">
        <f t="shared" si="10"/>
        <v>-0.13194444444444442</v>
      </c>
      <c r="D73" s="14">
        <f t="shared" si="11"/>
        <v>7.4074074074074042E-2</v>
      </c>
      <c r="E73" s="14">
        <f t="shared" si="12"/>
        <v>0.14285714285714288</v>
      </c>
      <c r="F73" s="14">
        <f t="shared" si="13"/>
        <v>5.3571428571428575E-2</v>
      </c>
      <c r="G73" s="14">
        <f t="shared" si="14"/>
        <v>-0.14285714285714288</v>
      </c>
      <c r="H73" s="14">
        <f t="shared" si="15"/>
        <v>6.0763888888888923E-2</v>
      </c>
      <c r="I73" s="15">
        <v>1</v>
      </c>
    </row>
    <row r="74" spans="1:9" ht="15.6" x14ac:dyDescent="0.3">
      <c r="A74" s="12"/>
      <c r="B74" s="14">
        <f t="shared" si="9"/>
        <v>0.14285714285714288</v>
      </c>
      <c r="C74" s="14">
        <f t="shared" si="10"/>
        <v>6.5972222222222224E-2</v>
      </c>
      <c r="D74" s="14">
        <f t="shared" si="11"/>
        <v>7.4074074074074042E-2</v>
      </c>
      <c r="E74" s="14">
        <f t="shared" si="12"/>
        <v>-0.14285714285714288</v>
      </c>
      <c r="F74" s="14">
        <f t="shared" si="13"/>
        <v>5.3571428571428575E-2</v>
      </c>
      <c r="G74" s="14">
        <f t="shared" si="14"/>
        <v>0.14285714285714288</v>
      </c>
      <c r="H74" s="14">
        <f t="shared" si="15"/>
        <v>6.0763888888888902E-2</v>
      </c>
      <c r="I74" s="15">
        <v>1</v>
      </c>
    </row>
    <row r="75" spans="1:9" ht="15.6" x14ac:dyDescent="0.3">
      <c r="A75" s="12"/>
      <c r="B75" s="14">
        <f t="shared" si="9"/>
        <v>-0.14285714285714288</v>
      </c>
      <c r="C75" s="14">
        <f t="shared" si="10"/>
        <v>-0.13194444444444442</v>
      </c>
      <c r="D75" s="14">
        <f t="shared" si="11"/>
        <v>7.4074074074074042E-2</v>
      </c>
      <c r="E75" s="14">
        <f t="shared" si="12"/>
        <v>0.14285714285714288</v>
      </c>
      <c r="F75" s="14">
        <f t="shared" si="13"/>
        <v>-5.3571428571428555E-2</v>
      </c>
      <c r="G75" s="14">
        <f t="shared" si="14"/>
        <v>0.14285714285714288</v>
      </c>
      <c r="H75" s="14">
        <f t="shared" si="15"/>
        <v>6.0763888888888923E-2</v>
      </c>
      <c r="I75" s="15">
        <v>1</v>
      </c>
    </row>
    <row r="76" spans="1:9" ht="15.6" x14ac:dyDescent="0.3">
      <c r="A76" s="12"/>
      <c r="B76" s="14">
        <f t="shared" si="9"/>
        <v>-0.14285714285714288</v>
      </c>
      <c r="C76" s="14">
        <f t="shared" si="10"/>
        <v>6.5972222222222224E-2</v>
      </c>
      <c r="D76" s="14">
        <f t="shared" si="11"/>
        <v>-7.4074074074074056E-2</v>
      </c>
      <c r="E76" s="14">
        <f t="shared" si="12"/>
        <v>-0.14285714285714288</v>
      </c>
      <c r="F76" s="14">
        <f t="shared" si="13"/>
        <v>5.3571428571428575E-2</v>
      </c>
      <c r="G76" s="14">
        <f t="shared" si="14"/>
        <v>-0.14285714285714288</v>
      </c>
      <c r="H76" s="14">
        <f t="shared" si="15"/>
        <v>-0.12152777777777779</v>
      </c>
      <c r="I76" s="15">
        <v>2</v>
      </c>
    </row>
    <row r="77" spans="1:9" ht="15.6" x14ac:dyDescent="0.3">
      <c r="A77" s="12"/>
      <c r="B77" s="14">
        <f t="shared" si="9"/>
        <v>-0.14285714285714288</v>
      </c>
      <c r="C77" s="14">
        <f t="shared" si="10"/>
        <v>-0.13194444444444442</v>
      </c>
      <c r="D77" s="14">
        <f t="shared" si="11"/>
        <v>7.4074074074074042E-2</v>
      </c>
      <c r="E77" s="14">
        <f t="shared" si="12"/>
        <v>-0.14285714285714288</v>
      </c>
      <c r="F77" s="14">
        <f t="shared" si="13"/>
        <v>5.3571428571428575E-2</v>
      </c>
      <c r="G77" s="14">
        <f t="shared" si="14"/>
        <v>-0.14285714285714288</v>
      </c>
      <c r="H77" s="14">
        <f t="shared" si="15"/>
        <v>6.0763888888888923E-2</v>
      </c>
      <c r="I77" s="15">
        <v>2</v>
      </c>
    </row>
    <row r="78" spans="1:9" ht="15.6" x14ac:dyDescent="0.3">
      <c r="A78" s="12"/>
      <c r="B78" s="14">
        <f t="shared" si="9"/>
        <v>-0.14285714285714288</v>
      </c>
      <c r="C78" s="14">
        <f t="shared" si="10"/>
        <v>-0.13194444444444442</v>
      </c>
      <c r="D78" s="14">
        <f t="shared" si="11"/>
        <v>7.4074074074074042E-2</v>
      </c>
      <c r="E78" s="14">
        <f t="shared" si="12"/>
        <v>-0.14285714285714288</v>
      </c>
      <c r="F78" s="14">
        <f t="shared" si="13"/>
        <v>-5.3571428571428555E-2</v>
      </c>
      <c r="G78" s="14">
        <f t="shared" si="14"/>
        <v>-0.14285714285714288</v>
      </c>
      <c r="H78" s="14">
        <f t="shared" si="15"/>
        <v>6.0763888888888923E-2</v>
      </c>
      <c r="I78" s="15">
        <v>2</v>
      </c>
    </row>
    <row r="79" spans="1:9" ht="15.6" x14ac:dyDescent="0.3">
      <c r="A79" s="12"/>
      <c r="B79" s="14">
        <f t="shared" si="9"/>
        <v>0.14285714285714288</v>
      </c>
      <c r="C79" s="14">
        <f t="shared" si="10"/>
        <v>-0.13194444444444442</v>
      </c>
      <c r="D79" s="14">
        <f t="shared" si="11"/>
        <v>7.4074074074074042E-2</v>
      </c>
      <c r="E79" s="14">
        <f t="shared" si="12"/>
        <v>-0.14285714285714288</v>
      </c>
      <c r="F79" s="14">
        <f t="shared" si="13"/>
        <v>-5.3571428571428555E-2</v>
      </c>
      <c r="G79" s="14">
        <f t="shared" si="14"/>
        <v>-0.14285714285714288</v>
      </c>
      <c r="H79" s="14">
        <f t="shared" si="15"/>
        <v>6.0763888888888923E-2</v>
      </c>
      <c r="I79" s="15">
        <v>2</v>
      </c>
    </row>
    <row r="80" spans="1:9" ht="15.6" x14ac:dyDescent="0.3">
      <c r="A80" s="4"/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4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="90" zoomScaleNormal="90" workbookViewId="0">
      <selection activeCell="E23" sqref="E23"/>
    </sheetView>
  </sheetViews>
  <sheetFormatPr defaultRowHeight="14.4" x14ac:dyDescent="0.3"/>
  <cols>
    <col min="2" max="14" width="12.77734375" customWidth="1"/>
  </cols>
  <sheetData>
    <row r="1" spans="1:15" ht="15.6" x14ac:dyDescent="0.3">
      <c r="A1" s="131" t="s">
        <v>42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ht="15.6" x14ac:dyDescent="0.3">
      <c r="A2" s="10" t="s">
        <v>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 t="s">
        <v>8</v>
      </c>
    </row>
    <row r="3" spans="1:15" ht="18" customHeight="1" x14ac:dyDescent="0.3">
      <c r="A3" s="12"/>
      <c r="B3" s="13">
        <v>0.52910083333333335</v>
      </c>
      <c r="C3" s="14">
        <v>-0.14285714285714288</v>
      </c>
      <c r="D3" s="14">
        <v>-0.13194444444444442</v>
      </c>
      <c r="E3" s="13">
        <v>-0.24074050000000002</v>
      </c>
      <c r="F3" s="13">
        <v>-5.3571500000000001E-2</v>
      </c>
      <c r="G3" s="14">
        <v>7.4074074074074042E-2</v>
      </c>
      <c r="H3" s="14">
        <v>-0.14285714285714288</v>
      </c>
      <c r="I3" s="13">
        <v>0.24074050000000002</v>
      </c>
      <c r="J3" s="14">
        <v>-5.3571428571428555E-2</v>
      </c>
      <c r="K3" s="13">
        <v>-0.24074050000000002</v>
      </c>
      <c r="L3" s="14">
        <v>-0.14285714285714288</v>
      </c>
      <c r="M3" s="13">
        <v>-9.5238000000000017E-2</v>
      </c>
      <c r="N3" s="14">
        <v>6.0763888888888902E-2</v>
      </c>
      <c r="O3" s="15">
        <v>2</v>
      </c>
    </row>
    <row r="4" spans="1:15" ht="18" customHeight="1" x14ac:dyDescent="0.3">
      <c r="A4" s="12"/>
      <c r="B4" s="13">
        <v>0.52910083333333335</v>
      </c>
      <c r="C4" s="14">
        <v>0.14285714285714288</v>
      </c>
      <c r="D4" s="14">
        <v>6.5972222222222224E-2</v>
      </c>
      <c r="E4" s="13">
        <v>0.24074050000000002</v>
      </c>
      <c r="F4" s="13">
        <v>-5.3571500000000001E-2</v>
      </c>
      <c r="G4" s="14">
        <v>7.4074074074074042E-2</v>
      </c>
      <c r="H4" s="14">
        <v>-0.14285714285714288</v>
      </c>
      <c r="I4" s="13">
        <v>-0.24074050000000002</v>
      </c>
      <c r="J4" s="14">
        <v>-5.3571428571428555E-2</v>
      </c>
      <c r="K4" s="13">
        <v>-0.24074050000000002</v>
      </c>
      <c r="L4" s="14">
        <v>-0.14285714285714288</v>
      </c>
      <c r="M4" s="13">
        <v>9.5238000000000017E-2</v>
      </c>
      <c r="N4" s="14">
        <v>6.0763888888888923E-2</v>
      </c>
      <c r="O4" s="15">
        <v>1</v>
      </c>
    </row>
    <row r="5" spans="1:15" ht="18" customHeight="1" x14ac:dyDescent="0.3">
      <c r="A5" s="12"/>
      <c r="B5" s="13">
        <v>-0.52910083333333335</v>
      </c>
      <c r="C5" s="14">
        <v>-0.14285714285714288</v>
      </c>
      <c r="D5" s="14">
        <v>6.5972222222222224E-2</v>
      </c>
      <c r="E5" s="13">
        <v>-0.24074050000000002</v>
      </c>
      <c r="F5" s="13">
        <v>-5.3571500000000001E-2</v>
      </c>
      <c r="G5" s="14">
        <v>7.4074074074074042E-2</v>
      </c>
      <c r="H5" s="14">
        <v>0.14285714285714288</v>
      </c>
      <c r="I5" s="13">
        <v>-0.24074050000000002</v>
      </c>
      <c r="J5" s="14">
        <v>-5.3571428571428555E-2</v>
      </c>
      <c r="K5" s="13">
        <v>0.24074050000000002</v>
      </c>
      <c r="L5" s="14">
        <v>0.14285714285714288</v>
      </c>
      <c r="M5" s="13">
        <v>9.5238000000000017E-2</v>
      </c>
      <c r="N5" s="14">
        <v>6.0763888888888923E-2</v>
      </c>
      <c r="O5" s="15">
        <v>2</v>
      </c>
    </row>
    <row r="6" spans="1:15" ht="18" customHeight="1" x14ac:dyDescent="0.3">
      <c r="A6" s="12"/>
      <c r="B6" s="13">
        <v>0.52910083333333335</v>
      </c>
      <c r="C6" s="14">
        <v>-0.14285714285714288</v>
      </c>
      <c r="D6" s="14">
        <v>-0.13194444444444442</v>
      </c>
      <c r="E6" s="13">
        <v>-0.24074050000000002</v>
      </c>
      <c r="F6" s="13">
        <v>-5.3571500000000001E-2</v>
      </c>
      <c r="G6" s="14">
        <v>7.4074074074074042E-2</v>
      </c>
      <c r="H6" s="14">
        <v>0.14285714285714288</v>
      </c>
      <c r="I6" s="13">
        <v>0.24074050000000002</v>
      </c>
      <c r="J6" s="14">
        <v>5.3571428571428575E-2</v>
      </c>
      <c r="K6" s="13">
        <v>0.24074050000000002</v>
      </c>
      <c r="L6" s="14">
        <v>-0.14285714285714288</v>
      </c>
      <c r="M6" s="13">
        <v>-9.5238000000000017E-2</v>
      </c>
      <c r="N6" s="14">
        <v>6.0763888888888923E-2</v>
      </c>
      <c r="O6" s="15">
        <v>1</v>
      </c>
    </row>
    <row r="7" spans="1:15" ht="18" customHeight="1" x14ac:dyDescent="0.3">
      <c r="A7" s="12"/>
      <c r="B7" s="13">
        <v>0.52910083333333335</v>
      </c>
      <c r="C7" s="14">
        <v>0.14285714285714288</v>
      </c>
      <c r="D7" s="14">
        <v>6.5972222222222224E-2</v>
      </c>
      <c r="E7" s="13">
        <v>0.24074050000000002</v>
      </c>
      <c r="F7" s="13">
        <v>-5.3571500000000001E-2</v>
      </c>
      <c r="G7" s="14">
        <v>7.4074074074074042E-2</v>
      </c>
      <c r="H7" s="14">
        <v>-0.14285714285714288</v>
      </c>
      <c r="I7" s="13">
        <v>0.24074050000000002</v>
      </c>
      <c r="J7" s="14">
        <v>5.3571428571428575E-2</v>
      </c>
      <c r="K7" s="13">
        <v>0.24074050000000002</v>
      </c>
      <c r="L7" s="14">
        <v>0.14285714285714288</v>
      </c>
      <c r="M7" s="13">
        <v>-9.5238000000000017E-2</v>
      </c>
      <c r="N7" s="14">
        <v>6.0763888888888902E-2</v>
      </c>
      <c r="O7" s="15">
        <v>1</v>
      </c>
    </row>
    <row r="8" spans="1:15" ht="18" customHeight="1" x14ac:dyDescent="0.3">
      <c r="A8" s="12"/>
      <c r="B8" s="13">
        <v>0.52910083333333335</v>
      </c>
      <c r="C8" s="14">
        <v>-0.14285714285714288</v>
      </c>
      <c r="D8" s="14">
        <v>-0.13194444444444442</v>
      </c>
      <c r="E8" s="13">
        <v>0.24074050000000002</v>
      </c>
      <c r="F8" s="13">
        <v>5.3571500000000001E-2</v>
      </c>
      <c r="G8" s="14">
        <v>7.4074074074074042E-2</v>
      </c>
      <c r="H8" s="14">
        <v>0.14285714285714288</v>
      </c>
      <c r="I8" s="13">
        <v>0.24074050000000002</v>
      </c>
      <c r="J8" s="14">
        <v>-5.3571428571428555E-2</v>
      </c>
      <c r="K8" s="13">
        <v>0.24074050000000002</v>
      </c>
      <c r="L8" s="14">
        <v>0.14285714285714288</v>
      </c>
      <c r="M8" s="13">
        <v>9.5238000000000017E-2</v>
      </c>
      <c r="N8" s="14">
        <v>6.0763888888888923E-2</v>
      </c>
      <c r="O8" s="15">
        <v>1</v>
      </c>
    </row>
    <row r="9" spans="1:15" ht="18" customHeight="1" x14ac:dyDescent="0.3">
      <c r="A9" s="12"/>
      <c r="B9" s="13">
        <v>-0.52910083333333335</v>
      </c>
      <c r="C9" s="14">
        <v>-0.14285714285714288</v>
      </c>
      <c r="D9" s="14">
        <v>6.5972222222222224E-2</v>
      </c>
      <c r="E9" s="13">
        <v>-0.24074050000000002</v>
      </c>
      <c r="F9" s="13">
        <v>-5.3571500000000001E-2</v>
      </c>
      <c r="G9" s="14">
        <v>-7.4074074074074056E-2</v>
      </c>
      <c r="H9" s="14">
        <v>-0.14285714285714288</v>
      </c>
      <c r="I9" s="13">
        <v>-0.24074050000000002</v>
      </c>
      <c r="J9" s="14">
        <v>5.3571428571428575E-2</v>
      </c>
      <c r="K9" s="13">
        <v>-0.24074050000000002</v>
      </c>
      <c r="L9" s="14">
        <v>-0.14285714285714288</v>
      </c>
      <c r="M9" s="13">
        <v>-9.5238000000000017E-2</v>
      </c>
      <c r="N9" s="14">
        <v>-0.12152777777777779</v>
      </c>
      <c r="O9" s="15">
        <v>2</v>
      </c>
    </row>
    <row r="10" spans="1:15" ht="18" customHeight="1" x14ac:dyDescent="0.3">
      <c r="A10" s="12"/>
      <c r="B10" s="13">
        <v>-0.52910083333333335</v>
      </c>
      <c r="C10" s="14">
        <v>-0.14285714285714288</v>
      </c>
      <c r="D10" s="14">
        <v>-0.13194444444444442</v>
      </c>
      <c r="E10" s="13">
        <v>0.24074050000000002</v>
      </c>
      <c r="F10" s="13">
        <v>-5.3571500000000001E-2</v>
      </c>
      <c r="G10" s="14">
        <v>7.4074074074074042E-2</v>
      </c>
      <c r="H10" s="14">
        <v>-0.14285714285714288</v>
      </c>
      <c r="I10" s="13">
        <v>-0.24074050000000002</v>
      </c>
      <c r="J10" s="14">
        <v>5.3571428571428575E-2</v>
      </c>
      <c r="K10" s="13">
        <v>-0.24074050000000002</v>
      </c>
      <c r="L10" s="14">
        <v>-0.14285714285714288</v>
      </c>
      <c r="M10" s="13">
        <v>-9.5238000000000017E-2</v>
      </c>
      <c r="N10" s="14">
        <v>6.0763888888888923E-2</v>
      </c>
      <c r="O10" s="15">
        <v>2</v>
      </c>
    </row>
    <row r="11" spans="1:15" ht="18" customHeight="1" x14ac:dyDescent="0.3">
      <c r="A11" s="12"/>
      <c r="B11" s="13">
        <v>-0.52910083333333335</v>
      </c>
      <c r="C11" s="14">
        <v>-0.14285714285714288</v>
      </c>
      <c r="D11" s="14">
        <v>-0.13194444444444442</v>
      </c>
      <c r="E11" s="13">
        <v>-0.24074050000000002</v>
      </c>
      <c r="F11" s="13">
        <v>-5.3571500000000001E-2</v>
      </c>
      <c r="G11" s="14">
        <v>7.4074074074074042E-2</v>
      </c>
      <c r="H11" s="14">
        <v>-0.14285714285714288</v>
      </c>
      <c r="I11" s="13">
        <v>-0.24074050000000002</v>
      </c>
      <c r="J11" s="14">
        <v>-5.3571428571428555E-2</v>
      </c>
      <c r="K11" s="13">
        <v>-0.24074050000000002</v>
      </c>
      <c r="L11" s="14">
        <v>-0.14285714285714288</v>
      </c>
      <c r="M11" s="13">
        <v>-9.5238000000000017E-2</v>
      </c>
      <c r="N11" s="14">
        <v>6.0763888888888923E-2</v>
      </c>
      <c r="O11" s="15">
        <v>2</v>
      </c>
    </row>
    <row r="12" spans="1:15" ht="18" customHeight="1" x14ac:dyDescent="0.3">
      <c r="A12" s="12"/>
      <c r="B12" s="13">
        <v>-0.52910083333333335</v>
      </c>
      <c r="C12" s="14">
        <v>0.14285714285714288</v>
      </c>
      <c r="D12" s="14">
        <v>-0.13194444444444442</v>
      </c>
      <c r="E12" s="13">
        <v>-0.24074050000000002</v>
      </c>
      <c r="F12" s="13">
        <v>-5.3571500000000001E-2</v>
      </c>
      <c r="G12" s="14">
        <v>7.4074074074074042E-2</v>
      </c>
      <c r="H12" s="14">
        <v>-0.14285714285714288</v>
      </c>
      <c r="I12" s="13">
        <v>-0.24074050000000002</v>
      </c>
      <c r="J12" s="14">
        <v>-5.3571428571428555E-2</v>
      </c>
      <c r="K12" s="13">
        <v>-0.24074050000000002</v>
      </c>
      <c r="L12" s="14">
        <v>-0.14285714285714288</v>
      </c>
      <c r="M12" s="13">
        <v>-9.5238000000000017E-2</v>
      </c>
      <c r="N12" s="14">
        <v>6.0763888888888923E-2</v>
      </c>
      <c r="O12" s="15">
        <v>2</v>
      </c>
    </row>
    <row r="13" spans="1:15" ht="15.6" x14ac:dyDescent="0.3">
      <c r="A13" s="4"/>
      <c r="B13" s="16">
        <v>1</v>
      </c>
      <c r="C13" s="16">
        <v>0</v>
      </c>
      <c r="D13" s="16">
        <v>0</v>
      </c>
      <c r="E13" s="16">
        <v>1</v>
      </c>
      <c r="F13" s="16">
        <v>1</v>
      </c>
      <c r="G13" s="16">
        <v>0</v>
      </c>
      <c r="H13" s="16">
        <v>0</v>
      </c>
      <c r="I13" s="16">
        <v>1</v>
      </c>
      <c r="J13" s="16">
        <v>0</v>
      </c>
      <c r="K13" s="16">
        <v>1</v>
      </c>
      <c r="L13" s="16">
        <v>0</v>
      </c>
      <c r="M13" s="16">
        <v>1</v>
      </c>
      <c r="N13" s="16">
        <v>0</v>
      </c>
      <c r="O13" s="4"/>
    </row>
    <row r="16" spans="1:15" ht="15.6" x14ac:dyDescent="0.3">
      <c r="B16" s="144" t="s">
        <v>43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</row>
    <row r="17" spans="2:14" ht="15.6" x14ac:dyDescent="0.3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2:14" ht="15.6" x14ac:dyDescent="0.3">
      <c r="B18" s="13">
        <v>0.63492099999999996</v>
      </c>
      <c r="C18" s="14">
        <v>0.42857142857142855</v>
      </c>
      <c r="D18" s="14">
        <v>0.79166666666666663</v>
      </c>
      <c r="E18" s="13">
        <v>0.41269800000000001</v>
      </c>
      <c r="F18" s="13">
        <v>0.214286</v>
      </c>
      <c r="G18" s="14">
        <v>0.44444444444444436</v>
      </c>
      <c r="H18" s="14">
        <v>0.42857142857142855</v>
      </c>
      <c r="I18" s="13">
        <v>0.41269800000000001</v>
      </c>
      <c r="J18" s="14">
        <v>0.3214285714285714</v>
      </c>
      <c r="K18" s="13">
        <v>0.41269800000000001</v>
      </c>
      <c r="L18" s="14">
        <v>0.42857142857142855</v>
      </c>
      <c r="M18" s="13">
        <v>0.28571400000000002</v>
      </c>
      <c r="N18" s="14">
        <v>0.72916666666666674</v>
      </c>
    </row>
    <row r="19" spans="2:14" ht="15.6" x14ac:dyDescent="0.3">
      <c r="B19" s="3">
        <f>COUNTIF($B$18:$N$18, "&gt;" &amp; B18) + COUNTIF($B$18:B18, "=" &amp; B18)</f>
        <v>3</v>
      </c>
      <c r="C19" s="3">
        <f>COUNTIF($B$18:$N$18, "&gt;" &amp; C18) + COUNTIF($B$18:C18, "=" &amp; C18)</f>
        <v>5</v>
      </c>
      <c r="D19" s="53">
        <f>COUNTIF($B$18:$N$18, "&gt;" &amp; D18) + COUNTIF($B$18:D18, "=" &amp; D18)</f>
        <v>1</v>
      </c>
      <c r="E19" s="3">
        <f>COUNTIF($B$18:$N$18, "&gt;" &amp; E18) + COUNTIF($B$18:E18, "=" &amp; E18)</f>
        <v>8</v>
      </c>
      <c r="F19" s="3">
        <f>COUNTIF($B$18:$N$18, "&gt;" &amp; F18) + COUNTIF($B$18:F18, "=" &amp; F18)</f>
        <v>13</v>
      </c>
      <c r="G19" s="3">
        <f>COUNTIF($B$18:$N$18, "&gt;" &amp; G18) + COUNTIF($B$18:G18, "=" &amp; G18)</f>
        <v>4</v>
      </c>
      <c r="H19" s="3">
        <f>COUNTIF($B$18:$N$18, "&gt;" &amp; H18) + COUNTIF($B$18:H18, "=" &amp; H18)</f>
        <v>6</v>
      </c>
      <c r="I19" s="3">
        <f>COUNTIF($B$18:$N$18, "&gt;" &amp; I18) + COUNTIF($B$18:I18, "=" &amp; I18)</f>
        <v>9</v>
      </c>
      <c r="J19" s="3">
        <f>COUNTIF($B$18:$N$18, "&gt;" &amp; J18) + COUNTIF($B$18:J18, "=" &amp; J18)</f>
        <v>11</v>
      </c>
      <c r="K19" s="3">
        <f>COUNTIF($B$18:$N$18, "&gt;" &amp; K18) + COUNTIF($B$18:K18, "=" &amp; K18)</f>
        <v>10</v>
      </c>
      <c r="L19" s="3">
        <f>COUNTIF($B$18:$N$18, "&gt;" &amp; L18) + COUNTIF($B$18:L18, "=" &amp; L18)</f>
        <v>7</v>
      </c>
      <c r="M19" s="3">
        <f>COUNTIF($B$18:$N$18, "&gt;" &amp; M18) + COUNTIF($B$18:M18, "=" &amp; M18)</f>
        <v>12</v>
      </c>
      <c r="N19" s="3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dimension ref="A1:Y127"/>
  <sheetViews>
    <sheetView topLeftCell="A148" zoomScaleNormal="100" workbookViewId="0">
      <selection activeCell="K17" sqref="K17"/>
    </sheetView>
  </sheetViews>
  <sheetFormatPr defaultRowHeight="14.4" x14ac:dyDescent="0.3"/>
  <cols>
    <col min="1" max="1" width="9.21875" customWidth="1"/>
    <col min="2" max="7" width="12.77734375" customWidth="1"/>
    <col min="8" max="8" width="13.109375" customWidth="1"/>
    <col min="9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8" customHeight="1" x14ac:dyDescent="0.3">
      <c r="A1" s="156" t="s">
        <v>46</v>
      </c>
      <c r="B1" s="158"/>
      <c r="C1" s="158"/>
      <c r="D1" s="158"/>
      <c r="E1" s="158"/>
      <c r="F1" s="158"/>
      <c r="G1" s="157"/>
      <c r="I1" s="154" t="s">
        <v>47</v>
      </c>
      <c r="J1" s="159"/>
      <c r="K1" s="159"/>
      <c r="L1" s="159"/>
      <c r="M1" s="159"/>
      <c r="N1" s="155"/>
    </row>
    <row r="2" spans="1:25" ht="18" customHeight="1" x14ac:dyDescent="0.3">
      <c r="A2" s="10" t="s">
        <v>5</v>
      </c>
      <c r="B2" s="21"/>
      <c r="C2" s="21"/>
      <c r="D2" s="21"/>
      <c r="E2" s="21"/>
      <c r="F2" s="21"/>
      <c r="G2" s="22" t="s">
        <v>8</v>
      </c>
      <c r="I2" s="10" t="s">
        <v>5</v>
      </c>
      <c r="J2" s="21"/>
      <c r="K2" s="21"/>
      <c r="L2" s="21"/>
      <c r="M2" s="21"/>
      <c r="N2" s="12" t="s">
        <v>8</v>
      </c>
      <c r="P2" s="54"/>
      <c r="Q2" s="57"/>
      <c r="Y2" s="1"/>
    </row>
    <row r="3" spans="1:25" ht="18" customHeight="1" x14ac:dyDescent="0.3">
      <c r="A3" s="12"/>
      <c r="B3" s="60">
        <v>-0.13194444444444442</v>
      </c>
      <c r="C3" s="60">
        <v>7.4074074074074042E-2</v>
      </c>
      <c r="D3" s="60">
        <v>6.0763888888888902E-2</v>
      </c>
      <c r="E3" s="60">
        <v>-0.24074050000000002</v>
      </c>
      <c r="F3" s="60">
        <v>-5.3571428571428555E-2</v>
      </c>
      <c r="G3" s="15">
        <v>2</v>
      </c>
      <c r="I3" s="12"/>
      <c r="J3" s="61">
        <v>-0.37806568533891394</v>
      </c>
      <c r="K3" s="61">
        <v>-0.67699741026567173</v>
      </c>
      <c r="L3" s="61">
        <v>-1.3589807460522612</v>
      </c>
      <c r="M3" s="61">
        <v>-1.9056239248799161</v>
      </c>
      <c r="N3" s="15">
        <v>2</v>
      </c>
      <c r="P3" s="55"/>
      <c r="Q3" s="56">
        <v>5</v>
      </c>
    </row>
    <row r="4" spans="1:25" ht="18" customHeight="1" x14ac:dyDescent="0.3">
      <c r="A4" s="12"/>
      <c r="B4" s="60">
        <v>6.5972222222222224E-2</v>
      </c>
      <c r="C4" s="60">
        <v>7.4074074074074042E-2</v>
      </c>
      <c r="D4" s="60">
        <v>6.0763888888888923E-2</v>
      </c>
      <c r="E4" s="60">
        <v>0.24074050000000002</v>
      </c>
      <c r="F4" s="60">
        <v>-5.3571428571428555E-2</v>
      </c>
      <c r="G4" s="15">
        <v>1</v>
      </c>
      <c r="I4" s="12"/>
      <c r="J4" s="61">
        <v>0.40872845598398955</v>
      </c>
      <c r="K4" s="61">
        <v>0.69225411753175969</v>
      </c>
      <c r="L4" s="61">
        <v>1.0973331755196423</v>
      </c>
      <c r="M4" s="61">
        <v>1.1955874992027573</v>
      </c>
      <c r="N4" s="15">
        <v>1</v>
      </c>
    </row>
    <row r="5" spans="1:25" ht="18" customHeight="1" x14ac:dyDescent="0.3">
      <c r="A5" s="12"/>
      <c r="B5" s="60">
        <v>6.5972222222222224E-2</v>
      </c>
      <c r="C5" s="60">
        <v>7.4074074074074042E-2</v>
      </c>
      <c r="D5" s="60">
        <v>6.0763888888888923E-2</v>
      </c>
      <c r="E5" s="60">
        <v>-0.24074050000000002</v>
      </c>
      <c r="F5" s="60">
        <v>-5.3571428571428555E-2</v>
      </c>
      <c r="G5" s="15">
        <v>2</v>
      </c>
      <c r="I5" s="12"/>
      <c r="J5" s="61">
        <v>-0.14942741726637135</v>
      </c>
      <c r="K5" s="61">
        <v>-0.41361540108076145</v>
      </c>
      <c r="L5" s="61">
        <v>-1.0620337591921905</v>
      </c>
      <c r="M5" s="61">
        <v>-1.5793807325380578</v>
      </c>
      <c r="N5" s="15">
        <v>2</v>
      </c>
    </row>
    <row r="6" spans="1:25" ht="18" customHeight="1" x14ac:dyDescent="0.3">
      <c r="A6" s="12"/>
      <c r="B6" s="60">
        <v>-0.13194444444444442</v>
      </c>
      <c r="C6" s="60">
        <v>7.4074074074074042E-2</v>
      </c>
      <c r="D6" s="60">
        <v>6.0763888888888923E-2</v>
      </c>
      <c r="E6" s="60">
        <v>-0.24074050000000002</v>
      </c>
      <c r="F6" s="60">
        <v>5.3571428571428575E-2</v>
      </c>
      <c r="G6" s="15">
        <v>1</v>
      </c>
      <c r="I6" s="12"/>
      <c r="J6" s="61">
        <v>0.23923915005200891</v>
      </c>
      <c r="K6" s="61">
        <v>0.54607491198125124</v>
      </c>
      <c r="L6" s="61">
        <v>0.55066153579842136</v>
      </c>
      <c r="M6" s="61">
        <v>0.80910908540497495</v>
      </c>
      <c r="N6" s="15">
        <v>1</v>
      </c>
    </row>
    <row r="7" spans="1:25" ht="18" customHeight="1" x14ac:dyDescent="0.3">
      <c r="A7" s="12"/>
      <c r="B7" s="60">
        <v>6.5972222222222224E-2</v>
      </c>
      <c r="C7" s="60">
        <v>7.4074074074074042E-2</v>
      </c>
      <c r="D7" s="60">
        <v>6.0763888888888902E-2</v>
      </c>
      <c r="E7" s="60">
        <v>0.24074050000000002</v>
      </c>
      <c r="F7" s="60">
        <v>5.3571428571428575E-2</v>
      </c>
      <c r="G7" s="15">
        <v>1</v>
      </c>
      <c r="I7" s="12"/>
      <c r="J7" s="61">
        <v>0.40872845598398955</v>
      </c>
      <c r="K7" s="61">
        <v>0.69225411753175958</v>
      </c>
      <c r="L7" s="61">
        <v>1.097333175519642</v>
      </c>
      <c r="M7" s="61">
        <v>1.2912243595415676</v>
      </c>
      <c r="N7" s="15">
        <v>1</v>
      </c>
    </row>
    <row r="8" spans="1:25" ht="18" customHeight="1" x14ac:dyDescent="0.3">
      <c r="A8" s="12"/>
      <c r="B8" s="60">
        <v>-0.13194444444444442</v>
      </c>
      <c r="C8" s="60">
        <v>7.4074074074074042E-2</v>
      </c>
      <c r="D8" s="60">
        <v>6.0763888888888923E-2</v>
      </c>
      <c r="E8" s="60">
        <v>0.24074050000000002</v>
      </c>
      <c r="F8" s="60">
        <v>-5.3571428571428555E-2</v>
      </c>
      <c r="G8" s="15">
        <v>1</v>
      </c>
      <c r="I8" s="12"/>
      <c r="J8" s="61">
        <v>0.23923915005200891</v>
      </c>
      <c r="K8" s="61">
        <v>0.54607491198125124</v>
      </c>
      <c r="L8" s="61">
        <v>0.96858288142615678</v>
      </c>
      <c r="M8" s="61">
        <v>1.0814390907557363</v>
      </c>
      <c r="N8" s="15">
        <v>1</v>
      </c>
    </row>
    <row r="9" spans="1:25" ht="18" customHeight="1" x14ac:dyDescent="0.3">
      <c r="A9" s="12"/>
      <c r="B9" s="60">
        <v>6.5972222222222224E-2</v>
      </c>
      <c r="C9" s="60">
        <v>-7.4074074074074056E-2</v>
      </c>
      <c r="D9" s="60">
        <v>-0.12152777777777779</v>
      </c>
      <c r="E9" s="60">
        <v>-0.24074050000000002</v>
      </c>
      <c r="F9" s="60">
        <v>5.3571428571428575E-2</v>
      </c>
      <c r="G9" s="15">
        <v>2</v>
      </c>
      <c r="I9" s="12"/>
      <c r="J9" s="61">
        <v>-0.32058777621177315</v>
      </c>
      <c r="K9" s="61">
        <v>-0.82013350598256329</v>
      </c>
      <c r="L9" s="61">
        <v>-1.5186565413621942</v>
      </c>
      <c r="M9" s="61">
        <v>-1.9627811825322841</v>
      </c>
      <c r="N9" s="15">
        <v>2</v>
      </c>
    </row>
    <row r="10" spans="1:25" ht="18" customHeight="1" x14ac:dyDescent="0.3">
      <c r="A10" s="12"/>
      <c r="B10" s="60">
        <v>-0.13194444444444442</v>
      </c>
      <c r="C10" s="60">
        <v>7.4074074074074042E-2</v>
      </c>
      <c r="D10" s="60">
        <v>6.0763888888888923E-2</v>
      </c>
      <c r="E10" s="60">
        <v>0.24074050000000002</v>
      </c>
      <c r="F10" s="60">
        <v>5.3571428571428575E-2</v>
      </c>
      <c r="G10" s="15">
        <v>2</v>
      </c>
      <c r="I10" s="12"/>
      <c r="J10" s="61">
        <v>-0.37806568533891394</v>
      </c>
      <c r="K10" s="61">
        <v>-0.67699741026567162</v>
      </c>
      <c r="L10" s="61">
        <v>-0.81342787967727681</v>
      </c>
      <c r="M10" s="61">
        <v>-1.1814449898616624</v>
      </c>
      <c r="N10" s="15">
        <v>2</v>
      </c>
    </row>
    <row r="11" spans="1:25" ht="18" customHeight="1" x14ac:dyDescent="0.3">
      <c r="A11" s="12"/>
      <c r="B11" s="60">
        <v>-0.13194444444444442</v>
      </c>
      <c r="C11" s="60">
        <v>7.4074074074074042E-2</v>
      </c>
      <c r="D11" s="60">
        <v>6.0763888888888923E-2</v>
      </c>
      <c r="E11" s="60">
        <v>-0.24074050000000002</v>
      </c>
      <c r="F11" s="60">
        <v>-5.3571428571428555E-2</v>
      </c>
      <c r="G11" s="15">
        <v>2</v>
      </c>
      <c r="I11" s="12"/>
      <c r="J11" s="61">
        <v>-0.37806568533891394</v>
      </c>
      <c r="K11" s="61">
        <v>-0.67699741026567162</v>
      </c>
      <c r="L11" s="61">
        <v>-1.3589807460522612</v>
      </c>
      <c r="M11" s="61">
        <v>-1.9056239248799161</v>
      </c>
      <c r="N11" s="15">
        <v>2</v>
      </c>
    </row>
    <row r="12" spans="1:25" ht="18" customHeight="1" x14ac:dyDescent="0.3">
      <c r="A12" s="12"/>
      <c r="B12" s="60">
        <v>-0.13194444444444442</v>
      </c>
      <c r="C12" s="60">
        <v>7.4074074074074042E-2</v>
      </c>
      <c r="D12" s="60">
        <v>6.0763888888888923E-2</v>
      </c>
      <c r="E12" s="60">
        <v>-0.24074050000000002</v>
      </c>
      <c r="F12" s="60">
        <v>-5.3571428571428555E-2</v>
      </c>
      <c r="G12" s="15">
        <v>2</v>
      </c>
      <c r="I12" s="12"/>
      <c r="J12" s="61">
        <v>-0.37806568533891394</v>
      </c>
      <c r="K12" s="61">
        <v>-0.67699741026567162</v>
      </c>
      <c r="L12" s="61">
        <v>-1.3589807460522612</v>
      </c>
      <c r="M12" s="61">
        <v>-1.9056239248799161</v>
      </c>
      <c r="N12" s="15">
        <v>2</v>
      </c>
    </row>
    <row r="13" spans="1:25" ht="16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25" ht="18" customHeight="1" x14ac:dyDescent="0.3">
      <c r="B14" s="132" t="s">
        <v>44</v>
      </c>
      <c r="C14" s="132"/>
      <c r="D14" s="132"/>
      <c r="E14" s="59">
        <v>5</v>
      </c>
      <c r="G14" s="4"/>
      <c r="J14" s="166" t="s">
        <v>45</v>
      </c>
      <c r="K14" s="167"/>
      <c r="L14" s="168"/>
      <c r="M14" s="58">
        <v>4</v>
      </c>
      <c r="O14" s="4"/>
      <c r="P14" s="4"/>
    </row>
    <row r="15" spans="1:25" ht="13.95" customHeight="1" x14ac:dyDescent="0.3"/>
    <row r="16" spans="1:25" ht="13.95" customHeight="1" x14ac:dyDescent="0.3"/>
    <row r="17" spans="1:19" ht="13.95" customHeight="1" x14ac:dyDescent="0.3">
      <c r="A17" s="4"/>
      <c r="G17" s="4"/>
      <c r="H17" s="4"/>
      <c r="I17" s="4"/>
      <c r="J17" s="4"/>
      <c r="K17" s="4"/>
      <c r="Q17" s="4"/>
      <c r="R17" s="4"/>
      <c r="S17" s="4"/>
    </row>
    <row r="18" spans="1:19" ht="18" customHeight="1" x14ac:dyDescent="0.3">
      <c r="A18" s="4"/>
      <c r="B18" s="4"/>
      <c r="E18" s="160"/>
      <c r="F18" s="161"/>
      <c r="G18" s="162"/>
      <c r="H18" s="4"/>
      <c r="I18" s="4"/>
      <c r="J18" s="4"/>
    </row>
    <row r="19" spans="1:19" ht="18" customHeight="1" x14ac:dyDescent="0.3">
      <c r="E19" s="163"/>
      <c r="F19" s="164"/>
      <c r="G19" s="165"/>
      <c r="I19" s="4"/>
      <c r="J19" s="4"/>
    </row>
    <row r="20" spans="1:19" ht="16.05" customHeight="1" x14ac:dyDescent="0.3">
      <c r="I20" s="4"/>
      <c r="J20" s="4"/>
    </row>
    <row r="21" spans="1:19" ht="18" customHeight="1" x14ac:dyDescent="0.3">
      <c r="A21" s="148" t="s">
        <v>48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50"/>
    </row>
    <row r="22" spans="1:19" ht="18" customHeight="1" x14ac:dyDescent="0.3">
      <c r="A22" s="10" t="s">
        <v>5</v>
      </c>
      <c r="B22" s="21"/>
      <c r="C22" s="21"/>
      <c r="D22" s="21"/>
      <c r="E22" s="21"/>
      <c r="F22" s="21"/>
      <c r="G22" s="21"/>
      <c r="H22" s="21"/>
      <c r="I22" s="21"/>
      <c r="J22" s="21"/>
      <c r="K22" s="12" t="s">
        <v>8</v>
      </c>
      <c r="M22" s="17" t="s">
        <v>12</v>
      </c>
      <c r="N22" s="18"/>
      <c r="O22" s="4"/>
    </row>
    <row r="23" spans="1:19" ht="18" customHeight="1" x14ac:dyDescent="0.3">
      <c r="A23" s="12"/>
      <c r="B23" s="60">
        <v>-0.13194444444444442</v>
      </c>
      <c r="C23" s="60">
        <v>7.4074074074074042E-2</v>
      </c>
      <c r="D23" s="60">
        <v>6.0763888888888902E-2</v>
      </c>
      <c r="E23" s="60">
        <v>-0.24074050000000002</v>
      </c>
      <c r="F23" s="60">
        <v>-5.3571428571428555E-2</v>
      </c>
      <c r="G23" s="61">
        <v>-0.37806568533891394</v>
      </c>
      <c r="H23" s="61">
        <v>-0.67699741026567173</v>
      </c>
      <c r="I23" s="61">
        <v>-1.3589807460522612</v>
      </c>
      <c r="J23" s="61">
        <v>-1.9056239248799161</v>
      </c>
      <c r="K23" s="15">
        <v>2</v>
      </c>
      <c r="M23" s="17" t="s">
        <v>9</v>
      </c>
      <c r="N23" s="4"/>
      <c r="O23" s="4"/>
    </row>
    <row r="24" spans="1:19" ht="18" customHeight="1" x14ac:dyDescent="0.3">
      <c r="A24" s="12"/>
      <c r="B24" s="60">
        <v>6.5972222222222224E-2</v>
      </c>
      <c r="C24" s="60">
        <v>7.4074074074074042E-2</v>
      </c>
      <c r="D24" s="60">
        <v>6.0763888888888923E-2</v>
      </c>
      <c r="E24" s="60">
        <v>0.24074050000000002</v>
      </c>
      <c r="F24" s="60">
        <v>-5.3571428571428555E-2</v>
      </c>
      <c r="G24" s="61">
        <v>0.40872845598398955</v>
      </c>
      <c r="H24" s="61">
        <v>0.69225411753175969</v>
      </c>
      <c r="I24" s="61">
        <v>1.0973331755196423</v>
      </c>
      <c r="J24" s="61">
        <v>1.1955874992027573</v>
      </c>
      <c r="K24" s="15">
        <v>1</v>
      </c>
      <c r="M24" s="4"/>
      <c r="N24" s="4"/>
      <c r="O24" s="4"/>
    </row>
    <row r="25" spans="1:19" ht="18" customHeight="1" x14ac:dyDescent="0.3">
      <c r="A25" s="12"/>
      <c r="B25" s="60">
        <v>6.5972222222222224E-2</v>
      </c>
      <c r="C25" s="60">
        <v>7.4074074074074042E-2</v>
      </c>
      <c r="D25" s="60">
        <v>6.0763888888888923E-2</v>
      </c>
      <c r="E25" s="60">
        <v>-0.24074050000000002</v>
      </c>
      <c r="F25" s="60">
        <v>-5.3571428571428555E-2</v>
      </c>
      <c r="G25" s="61">
        <v>-0.14942741726637135</v>
      </c>
      <c r="H25" s="61">
        <v>-0.41361540108076145</v>
      </c>
      <c r="I25" s="61">
        <v>-1.0620337591921905</v>
      </c>
      <c r="J25" s="61">
        <v>-1.5793807325380578</v>
      </c>
      <c r="K25" s="15">
        <v>2</v>
      </c>
      <c r="M25" s="156" t="s">
        <v>50</v>
      </c>
      <c r="N25" s="157"/>
    </row>
    <row r="26" spans="1:19" ht="18" customHeight="1" x14ac:dyDescent="0.3">
      <c r="A26" s="12"/>
      <c r="B26" s="60">
        <v>-0.13194444444444442</v>
      </c>
      <c r="C26" s="60">
        <v>7.4074074074074042E-2</v>
      </c>
      <c r="D26" s="60">
        <v>6.0763888888888923E-2</v>
      </c>
      <c r="E26" s="60">
        <v>-0.24074050000000002</v>
      </c>
      <c r="F26" s="60">
        <v>5.3571428571428575E-2</v>
      </c>
      <c r="G26" s="61">
        <v>0.23923915005200891</v>
      </c>
      <c r="H26" s="61">
        <v>0.54607491198125124</v>
      </c>
      <c r="I26" s="61">
        <v>0.55066153579842136</v>
      </c>
      <c r="J26" s="61">
        <v>0.80910908540497495</v>
      </c>
      <c r="K26" s="15">
        <v>1</v>
      </c>
      <c r="M26" s="154" t="s">
        <v>49</v>
      </c>
      <c r="N26" s="155"/>
    </row>
    <row r="27" spans="1:19" ht="18" customHeight="1" x14ac:dyDescent="0.3">
      <c r="A27" s="12"/>
      <c r="B27" s="60">
        <v>6.5972222222222224E-2</v>
      </c>
      <c r="C27" s="60">
        <v>7.4074074074074042E-2</v>
      </c>
      <c r="D27" s="60">
        <v>6.0763888888888902E-2</v>
      </c>
      <c r="E27" s="60">
        <v>0.24074050000000002</v>
      </c>
      <c r="F27" s="60">
        <v>5.3571428571428575E-2</v>
      </c>
      <c r="G27" s="61">
        <v>0.40872845598398955</v>
      </c>
      <c r="H27" s="61">
        <v>0.69225411753175958</v>
      </c>
      <c r="I27" s="61">
        <v>1.097333175519642</v>
      </c>
      <c r="J27" s="61">
        <v>1.2912243595415676</v>
      </c>
      <c r="K27" s="15">
        <v>1</v>
      </c>
    </row>
    <row r="28" spans="1:19" ht="18" customHeight="1" x14ac:dyDescent="0.3">
      <c r="A28" s="12"/>
      <c r="B28" s="60">
        <v>-0.13194444444444442</v>
      </c>
      <c r="C28" s="60">
        <v>7.4074074074074042E-2</v>
      </c>
      <c r="D28" s="60">
        <v>6.0763888888888923E-2</v>
      </c>
      <c r="E28" s="60">
        <v>0.24074050000000002</v>
      </c>
      <c r="F28" s="60">
        <v>-5.3571428571428555E-2</v>
      </c>
      <c r="G28" s="61">
        <v>0.23923915005200891</v>
      </c>
      <c r="H28" s="61">
        <v>0.54607491198125124</v>
      </c>
      <c r="I28" s="61">
        <v>0.96858288142615678</v>
      </c>
      <c r="J28" s="61">
        <v>1.0814390907557363</v>
      </c>
      <c r="K28" s="15">
        <v>1</v>
      </c>
    </row>
    <row r="29" spans="1:19" ht="18" customHeight="1" x14ac:dyDescent="0.3">
      <c r="A29" s="12"/>
      <c r="B29" s="60">
        <v>6.5972222222222224E-2</v>
      </c>
      <c r="C29" s="60">
        <v>-7.4074074074074056E-2</v>
      </c>
      <c r="D29" s="60">
        <v>-0.12152777777777779</v>
      </c>
      <c r="E29" s="60">
        <v>-0.24074050000000002</v>
      </c>
      <c r="F29" s="60">
        <v>5.3571428571428575E-2</v>
      </c>
      <c r="G29" s="61">
        <v>-0.32058777621177315</v>
      </c>
      <c r="H29" s="61">
        <v>-0.82013350598256329</v>
      </c>
      <c r="I29" s="61">
        <v>-1.5186565413621942</v>
      </c>
      <c r="J29" s="61">
        <v>-1.9627811825322841</v>
      </c>
      <c r="K29" s="15">
        <v>2</v>
      </c>
    </row>
    <row r="30" spans="1:19" ht="18" customHeight="1" x14ac:dyDescent="0.3">
      <c r="A30" s="12"/>
      <c r="B30" s="60">
        <v>-0.13194444444444442</v>
      </c>
      <c r="C30" s="60">
        <v>7.4074074074074042E-2</v>
      </c>
      <c r="D30" s="60">
        <v>6.0763888888888923E-2</v>
      </c>
      <c r="E30" s="60">
        <v>0.24074050000000002</v>
      </c>
      <c r="F30" s="60">
        <v>5.3571428571428575E-2</v>
      </c>
      <c r="G30" s="61">
        <v>-0.37806568533891394</v>
      </c>
      <c r="H30" s="61">
        <v>-0.67699741026567162</v>
      </c>
      <c r="I30" s="61">
        <v>-0.81342787967727681</v>
      </c>
      <c r="J30" s="61">
        <v>-1.1814449898616624</v>
      </c>
      <c r="K30" s="15">
        <v>2</v>
      </c>
    </row>
    <row r="31" spans="1:19" ht="18" customHeight="1" x14ac:dyDescent="0.3">
      <c r="A31" s="12"/>
      <c r="B31" s="60">
        <v>-0.13194444444444442</v>
      </c>
      <c r="C31" s="60">
        <v>7.4074074074074042E-2</v>
      </c>
      <c r="D31" s="60">
        <v>6.0763888888888923E-2</v>
      </c>
      <c r="E31" s="60">
        <v>-0.24074050000000002</v>
      </c>
      <c r="F31" s="60">
        <v>-5.3571428571428555E-2</v>
      </c>
      <c r="G31" s="61">
        <v>-0.37806568533891394</v>
      </c>
      <c r="H31" s="61">
        <v>-0.67699741026567162</v>
      </c>
      <c r="I31" s="61">
        <v>-1.3589807460522612</v>
      </c>
      <c r="J31" s="61">
        <v>-1.9056239248799161</v>
      </c>
      <c r="K31" s="15">
        <v>2</v>
      </c>
    </row>
    <row r="32" spans="1:19" ht="18" customHeight="1" x14ac:dyDescent="0.3">
      <c r="A32" s="12"/>
      <c r="B32" s="60">
        <v>-0.13194444444444442</v>
      </c>
      <c r="C32" s="60">
        <v>7.4074074074074042E-2</v>
      </c>
      <c r="D32" s="60">
        <v>6.0763888888888923E-2</v>
      </c>
      <c r="E32" s="60">
        <v>-0.24074050000000002</v>
      </c>
      <c r="F32" s="60">
        <v>-5.3571428571428555E-2</v>
      </c>
      <c r="G32" s="61">
        <v>-0.37806568533891394</v>
      </c>
      <c r="H32" s="61">
        <v>-0.67699741026567162</v>
      </c>
      <c r="I32" s="61">
        <v>-1.3589807460522612</v>
      </c>
      <c r="J32" s="61">
        <v>-1.9056239248799161</v>
      </c>
      <c r="K32" s="15">
        <v>2</v>
      </c>
    </row>
    <row r="33" spans="1:15" ht="15.6" x14ac:dyDescent="0.3">
      <c r="A33" s="4"/>
      <c r="O33" s="4"/>
    </row>
    <row r="35" spans="1:15" ht="15" thickBot="1" x14ac:dyDescent="0.35"/>
    <row r="36" spans="1:15" ht="15" thickBot="1" x14ac:dyDescent="0.35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7"/>
    </row>
    <row r="40" spans="1:15" ht="18" customHeight="1" x14ac:dyDescent="0.3">
      <c r="A40" s="131" t="s">
        <v>51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</row>
    <row r="41" spans="1:15" ht="14.4" customHeight="1" x14ac:dyDescent="0.3"/>
    <row r="42" spans="1:15" ht="18" customHeight="1" x14ac:dyDescent="0.3">
      <c r="A42" s="148" t="s">
        <v>78</v>
      </c>
      <c r="B42" s="149"/>
      <c r="C42" s="149"/>
      <c r="D42" s="149"/>
      <c r="E42" s="150"/>
    </row>
    <row r="43" spans="1:15" ht="18" customHeight="1" x14ac:dyDescent="0.3">
      <c r="A43" s="10" t="s">
        <v>5</v>
      </c>
      <c r="B43" s="12"/>
      <c r="C43" s="12"/>
      <c r="D43" s="12"/>
      <c r="E43" s="12"/>
    </row>
    <row r="44" spans="1:15" ht="18" customHeight="1" x14ac:dyDescent="0.3">
      <c r="A44" s="89"/>
      <c r="B44" s="14">
        <v>56</v>
      </c>
      <c r="C44" s="14">
        <v>63</v>
      </c>
      <c r="D44" s="14">
        <v>74</v>
      </c>
      <c r="E44" s="30">
        <v>0.63492099999999996</v>
      </c>
    </row>
    <row r="45" spans="1:15" ht="18" customHeight="1" x14ac:dyDescent="0.3">
      <c r="A45" s="13"/>
      <c r="B45" s="91">
        <v>110</v>
      </c>
      <c r="C45" s="91">
        <v>120</v>
      </c>
      <c r="D45" s="91">
        <v>150</v>
      </c>
      <c r="E45" s="91">
        <v>0.41269800000000001</v>
      </c>
      <c r="F45" s="151" t="s">
        <v>79</v>
      </c>
      <c r="G45" s="151"/>
      <c r="H45" s="151"/>
      <c r="I45" s="151"/>
      <c r="J45" s="151"/>
      <c r="K45" s="151"/>
    </row>
    <row r="46" spans="1:15" ht="18" customHeight="1" x14ac:dyDescent="0.3">
      <c r="A46" s="89"/>
      <c r="B46" s="14">
        <v>177</v>
      </c>
      <c r="C46" s="14">
        <v>177</v>
      </c>
      <c r="D46" s="14">
        <v>564</v>
      </c>
      <c r="E46" s="30">
        <v>0.214286</v>
      </c>
    </row>
    <row r="47" spans="1:15" ht="18" customHeight="1" x14ac:dyDescent="0.3">
      <c r="A47" s="89"/>
      <c r="B47" s="14">
        <v>105</v>
      </c>
      <c r="C47" s="14">
        <v>140</v>
      </c>
      <c r="D47" s="14">
        <v>170</v>
      </c>
      <c r="E47" s="30">
        <v>0.41269800000000001</v>
      </c>
    </row>
    <row r="48" spans="1:15" ht="18" customHeight="1" x14ac:dyDescent="0.3">
      <c r="A48" s="89"/>
      <c r="B48" s="14">
        <v>0.2</v>
      </c>
      <c r="C48" s="14">
        <v>0.4</v>
      </c>
      <c r="D48" s="14">
        <v>4</v>
      </c>
      <c r="E48" s="30">
        <v>0.41269800000000001</v>
      </c>
    </row>
    <row r="49" spans="1:8" ht="18" customHeight="1" x14ac:dyDescent="0.3">
      <c r="A49" s="89"/>
      <c r="B49" s="14">
        <v>0</v>
      </c>
      <c r="C49" s="14">
        <v>0</v>
      </c>
      <c r="D49" s="14">
        <v>3</v>
      </c>
      <c r="E49" s="30">
        <v>0.28571400000000002</v>
      </c>
    </row>
    <row r="50" spans="1:8" ht="14.4" customHeight="1" x14ac:dyDescent="0.3"/>
    <row r="51" spans="1:8" ht="14.4" customHeight="1" x14ac:dyDescent="0.3"/>
    <row r="52" spans="1:8" ht="18" customHeight="1" x14ac:dyDescent="0.3">
      <c r="D52" s="10" t="s">
        <v>5</v>
      </c>
      <c r="E52" s="11"/>
      <c r="F52" s="12" t="s">
        <v>8</v>
      </c>
    </row>
    <row r="53" spans="1:8" ht="18" customHeight="1" x14ac:dyDescent="0.3">
      <c r="D53" s="12"/>
      <c r="E53" s="13">
        <v>110</v>
      </c>
      <c r="F53" s="15">
        <v>2</v>
      </c>
    </row>
    <row r="54" spans="1:8" ht="18" customHeight="1" x14ac:dyDescent="0.3">
      <c r="D54" s="12"/>
      <c r="E54" s="13">
        <v>115</v>
      </c>
      <c r="F54" s="15">
        <v>1</v>
      </c>
      <c r="H54" s="152" t="s">
        <v>81</v>
      </c>
    </row>
    <row r="55" spans="1:8" ht="18" customHeight="1" x14ac:dyDescent="0.3">
      <c r="D55" s="12"/>
      <c r="E55" s="13">
        <v>120</v>
      </c>
      <c r="F55" s="15">
        <v>1</v>
      </c>
      <c r="H55" s="152"/>
    </row>
    <row r="56" spans="1:8" ht="18" customHeight="1" thickBot="1" x14ac:dyDescent="0.35">
      <c r="D56" s="29"/>
      <c r="E56" s="24">
        <v>120</v>
      </c>
      <c r="F56" s="25">
        <v>1</v>
      </c>
    </row>
    <row r="57" spans="1:8" ht="18" customHeight="1" x14ac:dyDescent="0.3">
      <c r="D57" s="22"/>
      <c r="E57" s="26">
        <v>124</v>
      </c>
      <c r="F57" s="27">
        <v>2</v>
      </c>
    </row>
    <row r="58" spans="1:8" ht="18" customHeight="1" x14ac:dyDescent="0.3">
      <c r="D58" s="12"/>
      <c r="E58" s="13">
        <v>128</v>
      </c>
      <c r="F58" s="15">
        <v>1</v>
      </c>
    </row>
    <row r="59" spans="1:8" ht="18" customHeight="1" x14ac:dyDescent="0.3">
      <c r="D59" s="12"/>
      <c r="E59" s="13">
        <v>130</v>
      </c>
      <c r="F59" s="15">
        <v>2</v>
      </c>
      <c r="H59" s="152" t="s">
        <v>82</v>
      </c>
    </row>
    <row r="60" spans="1:8" ht="18" customHeight="1" x14ac:dyDescent="0.3">
      <c r="D60" s="12"/>
      <c r="E60" s="13">
        <v>130</v>
      </c>
      <c r="F60" s="15">
        <v>2</v>
      </c>
      <c r="H60" s="152"/>
    </row>
    <row r="61" spans="1:8" ht="18" customHeight="1" x14ac:dyDescent="0.3">
      <c r="D61" s="12"/>
      <c r="E61" s="13">
        <v>140</v>
      </c>
      <c r="F61" s="15">
        <v>2</v>
      </c>
    </row>
    <row r="62" spans="1:8" ht="18" customHeight="1" x14ac:dyDescent="0.3">
      <c r="D62" s="12"/>
      <c r="E62" s="13">
        <v>150</v>
      </c>
      <c r="F62" s="15">
        <v>2</v>
      </c>
    </row>
    <row r="63" spans="1:8" ht="18" customHeight="1" x14ac:dyDescent="0.3">
      <c r="D63" s="4"/>
      <c r="E63" s="4"/>
      <c r="F63" s="4"/>
    </row>
    <row r="64" spans="1:8" ht="18" customHeight="1" x14ac:dyDescent="0.3">
      <c r="D64" s="28"/>
      <c r="E64" s="10">
        <f>AVERAGE(E56,E57)</f>
        <v>122</v>
      </c>
      <c r="F64" s="4"/>
    </row>
    <row r="65" spans="1:7" ht="18" customHeight="1" x14ac:dyDescent="0.3"/>
    <row r="66" spans="1:7" ht="18" customHeight="1" x14ac:dyDescent="0.3">
      <c r="E66" s="107" t="s">
        <v>52</v>
      </c>
    </row>
    <row r="67" spans="1:7" ht="18" customHeight="1" x14ac:dyDescent="0.3"/>
    <row r="68" spans="1:7" ht="18" customHeight="1" x14ac:dyDescent="0.3">
      <c r="A68" s="131" t="s">
        <v>51</v>
      </c>
      <c r="B68" s="131"/>
      <c r="C68" s="131"/>
      <c r="D68" s="131"/>
      <c r="E68" s="131"/>
      <c r="F68" s="131"/>
      <c r="G68" s="131"/>
    </row>
    <row r="69" spans="1:7" ht="18" customHeight="1" x14ac:dyDescent="0.3">
      <c r="A69" s="34" t="s">
        <v>5</v>
      </c>
      <c r="B69" s="21"/>
      <c r="C69" s="21"/>
      <c r="D69" s="21"/>
      <c r="E69" s="21"/>
      <c r="F69" s="21"/>
      <c r="G69" s="22" t="s">
        <v>8</v>
      </c>
    </row>
    <row r="70" spans="1:7" ht="18" customHeight="1" x14ac:dyDescent="0.3">
      <c r="A70" s="12"/>
      <c r="B70" s="63">
        <v>4</v>
      </c>
      <c r="C70" s="63">
        <v>0</v>
      </c>
      <c r="D70" s="63">
        <v>7</v>
      </c>
      <c r="E70" s="62">
        <v>135</v>
      </c>
      <c r="F70" s="63">
        <v>0</v>
      </c>
      <c r="G70" s="106" t="s">
        <v>80</v>
      </c>
    </row>
    <row r="71" spans="1:7" ht="18" customHeight="1" x14ac:dyDescent="0.3">
      <c r="A71" s="64"/>
      <c r="B71" s="16">
        <v>3</v>
      </c>
      <c r="C71" s="16">
        <v>6</v>
      </c>
      <c r="D71" s="16">
        <v>13</v>
      </c>
      <c r="E71" s="16">
        <v>4</v>
      </c>
      <c r="F71" s="16">
        <v>9</v>
      </c>
    </row>
    <row r="72" spans="1:7" ht="18" customHeight="1" x14ac:dyDescent="0.3"/>
    <row r="73" spans="1:7" ht="18" customHeight="1" x14ac:dyDescent="0.3">
      <c r="E73" s="107" t="s">
        <v>52</v>
      </c>
    </row>
    <row r="74" spans="1:7" ht="18" customHeight="1" x14ac:dyDescent="0.3"/>
    <row r="75" spans="1:7" ht="18" customHeight="1" x14ac:dyDescent="0.3">
      <c r="A75" s="131" t="s">
        <v>51</v>
      </c>
      <c r="B75" s="131"/>
      <c r="C75" s="131"/>
      <c r="D75" s="131"/>
      <c r="E75" s="131"/>
      <c r="F75" s="131"/>
      <c r="G75" s="131"/>
    </row>
    <row r="76" spans="1:7" ht="18" customHeight="1" x14ac:dyDescent="0.3">
      <c r="A76" s="34" t="s">
        <v>5</v>
      </c>
      <c r="B76" s="94"/>
      <c r="C76" s="94"/>
      <c r="D76" s="94"/>
      <c r="E76" s="94"/>
      <c r="F76" s="94"/>
      <c r="G76" s="22" t="s">
        <v>8</v>
      </c>
    </row>
    <row r="77" spans="1:7" ht="18" customHeight="1" x14ac:dyDescent="0.3">
      <c r="A77" s="12"/>
      <c r="B77" s="63">
        <v>4</v>
      </c>
      <c r="C77" s="63">
        <v>0</v>
      </c>
      <c r="D77" s="63">
        <v>7</v>
      </c>
      <c r="E77" s="62">
        <v>2</v>
      </c>
      <c r="F77" s="63">
        <v>0</v>
      </c>
      <c r="G77" s="106" t="s">
        <v>80</v>
      </c>
    </row>
    <row r="78" spans="1:7" ht="18" customHeight="1" x14ac:dyDescent="0.3">
      <c r="A78" s="64"/>
      <c r="B78" s="16">
        <v>3</v>
      </c>
      <c r="C78" s="16">
        <v>6</v>
      </c>
      <c r="D78" s="16">
        <v>13</v>
      </c>
      <c r="E78" s="16">
        <v>4</v>
      </c>
      <c r="F78" s="16">
        <v>9</v>
      </c>
    </row>
    <row r="79" spans="1:7" ht="15" customHeight="1" x14ac:dyDescent="0.3"/>
    <row r="80" spans="1:7" ht="15" customHeight="1" x14ac:dyDescent="0.3"/>
    <row r="81" spans="1:14" ht="15" customHeight="1" x14ac:dyDescent="0.3"/>
    <row r="82" spans="1:14" ht="15" customHeight="1" x14ac:dyDescent="0.3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</row>
    <row r="83" spans="1:14" ht="15" customHeight="1" x14ac:dyDescent="0.3"/>
    <row r="84" spans="1:14" ht="15" customHeight="1" x14ac:dyDescent="0.3"/>
    <row r="85" spans="1:14" ht="15" customHeight="1" x14ac:dyDescent="0.3"/>
    <row r="86" spans="1:14" ht="18" customHeight="1" x14ac:dyDescent="0.3">
      <c r="A86" s="148" t="s">
        <v>53</v>
      </c>
      <c r="B86" s="149"/>
      <c r="C86" s="149"/>
      <c r="D86" s="149"/>
      <c r="E86" s="149"/>
      <c r="F86" s="149"/>
      <c r="G86" s="149"/>
      <c r="H86" s="149"/>
      <c r="I86" s="149"/>
      <c r="J86" s="149"/>
      <c r="K86" s="150"/>
    </row>
    <row r="87" spans="1:14" ht="18" customHeight="1" x14ac:dyDescent="0.3">
      <c r="A87" s="10" t="s">
        <v>5</v>
      </c>
      <c r="B87" s="21"/>
      <c r="C87" s="21"/>
      <c r="D87" s="21"/>
      <c r="E87" s="21"/>
      <c r="F87" s="21"/>
      <c r="G87" s="21"/>
      <c r="H87" s="21"/>
      <c r="I87" s="21"/>
      <c r="J87" s="21"/>
      <c r="K87" s="12" t="s">
        <v>8</v>
      </c>
    </row>
    <row r="88" spans="1:14" ht="18" customHeight="1" x14ac:dyDescent="0.3">
      <c r="A88" s="12"/>
      <c r="B88" s="60">
        <v>4</v>
      </c>
      <c r="C88" s="60">
        <v>0</v>
      </c>
      <c r="D88" s="60">
        <v>3</v>
      </c>
      <c r="E88" s="62">
        <v>2</v>
      </c>
      <c r="F88" s="60">
        <v>0</v>
      </c>
      <c r="G88" s="61">
        <v>-0.37806568533891394</v>
      </c>
      <c r="H88" s="61">
        <v>-0.67699741026567173</v>
      </c>
      <c r="I88" s="61">
        <v>-1.3589807460522612</v>
      </c>
      <c r="J88" s="61">
        <v>-1.9056239248799161</v>
      </c>
      <c r="K88" s="15">
        <v>2</v>
      </c>
    </row>
    <row r="89" spans="1:14" ht="18" customHeight="1" x14ac:dyDescent="0.3">
      <c r="A89" s="12"/>
      <c r="B89" s="60">
        <v>3</v>
      </c>
      <c r="C89" s="60">
        <v>0</v>
      </c>
      <c r="D89" s="60">
        <v>7</v>
      </c>
      <c r="E89" s="62">
        <v>1</v>
      </c>
      <c r="F89" s="60">
        <v>0</v>
      </c>
      <c r="G89" s="61">
        <v>0.40872845598398955</v>
      </c>
      <c r="H89" s="61">
        <v>0.69225411753175969</v>
      </c>
      <c r="I89" s="61">
        <v>1.0973331755196423</v>
      </c>
      <c r="J89" s="61">
        <v>1.1955874992027573</v>
      </c>
      <c r="K89" s="15">
        <v>1</v>
      </c>
    </row>
    <row r="90" spans="1:14" ht="18" customHeight="1" x14ac:dyDescent="0.3">
      <c r="A90" s="12"/>
      <c r="B90" s="60">
        <v>2</v>
      </c>
      <c r="C90" s="60">
        <v>0</v>
      </c>
      <c r="D90" s="60">
        <v>7</v>
      </c>
      <c r="E90" s="62">
        <v>2</v>
      </c>
      <c r="F90" s="60">
        <v>0</v>
      </c>
      <c r="G90" s="61">
        <v>-0.14942741726637135</v>
      </c>
      <c r="H90" s="61">
        <v>-0.41361540108076145</v>
      </c>
      <c r="I90" s="61">
        <v>-1.0620337591921905</v>
      </c>
      <c r="J90" s="61">
        <v>-1.5793807325380578</v>
      </c>
      <c r="K90" s="15">
        <v>2</v>
      </c>
    </row>
    <row r="91" spans="1:14" ht="18" customHeight="1" x14ac:dyDescent="0.3">
      <c r="A91" s="12"/>
      <c r="B91" s="60">
        <v>4</v>
      </c>
      <c r="C91" s="60">
        <v>0</v>
      </c>
      <c r="D91" s="60">
        <v>7</v>
      </c>
      <c r="E91" s="62">
        <v>2</v>
      </c>
      <c r="F91" s="60">
        <v>1</v>
      </c>
      <c r="G91" s="61">
        <v>0.23923915005200891</v>
      </c>
      <c r="H91" s="61">
        <v>0.54607491198125124</v>
      </c>
      <c r="I91" s="61">
        <v>0.55066153579842136</v>
      </c>
      <c r="J91" s="61">
        <v>0.80910908540497495</v>
      </c>
      <c r="K91" s="15">
        <v>1</v>
      </c>
    </row>
    <row r="92" spans="1:14" ht="18" customHeight="1" x14ac:dyDescent="0.3">
      <c r="A92" s="12"/>
      <c r="B92" s="60">
        <v>2</v>
      </c>
      <c r="C92" s="60">
        <v>0</v>
      </c>
      <c r="D92" s="60">
        <v>3</v>
      </c>
      <c r="E92" s="62">
        <v>1</v>
      </c>
      <c r="F92" s="60">
        <v>1</v>
      </c>
      <c r="G92" s="61">
        <v>0.40872845598398955</v>
      </c>
      <c r="H92" s="61">
        <v>0.69225411753175958</v>
      </c>
      <c r="I92" s="61">
        <v>1.097333175519642</v>
      </c>
      <c r="J92" s="61">
        <v>1.2912243595415676</v>
      </c>
      <c r="K92" s="15">
        <v>1</v>
      </c>
    </row>
    <row r="93" spans="1:14" ht="18" customHeight="1" x14ac:dyDescent="0.3">
      <c r="A93" s="12"/>
      <c r="B93" s="60">
        <v>4</v>
      </c>
      <c r="C93" s="60">
        <v>0</v>
      </c>
      <c r="D93" s="60">
        <v>7</v>
      </c>
      <c r="E93" s="62">
        <v>1</v>
      </c>
      <c r="F93" s="60">
        <v>0</v>
      </c>
      <c r="G93" s="61">
        <v>0.23923915005200891</v>
      </c>
      <c r="H93" s="61">
        <v>0.54607491198125124</v>
      </c>
      <c r="I93" s="61">
        <v>0.96858288142615678</v>
      </c>
      <c r="J93" s="61">
        <v>1.0814390907557363</v>
      </c>
      <c r="K93" s="15">
        <v>1</v>
      </c>
    </row>
    <row r="94" spans="1:14" ht="18" customHeight="1" x14ac:dyDescent="0.3">
      <c r="A94" s="12"/>
      <c r="B94" s="60">
        <v>3</v>
      </c>
      <c r="C94" s="60">
        <v>1</v>
      </c>
      <c r="D94" s="60">
        <v>6</v>
      </c>
      <c r="E94" s="62">
        <v>2</v>
      </c>
      <c r="F94" s="60">
        <v>1</v>
      </c>
      <c r="G94" s="61">
        <v>-0.32058777621177315</v>
      </c>
      <c r="H94" s="61">
        <v>-0.82013350598256329</v>
      </c>
      <c r="I94" s="61">
        <v>-1.5186565413621942</v>
      </c>
      <c r="J94" s="61">
        <v>-1.9627811825322841</v>
      </c>
      <c r="K94" s="15">
        <v>2</v>
      </c>
    </row>
    <row r="95" spans="1:14" ht="18" customHeight="1" x14ac:dyDescent="0.3">
      <c r="A95" s="12"/>
      <c r="B95" s="60">
        <v>4</v>
      </c>
      <c r="C95" s="60">
        <v>0</v>
      </c>
      <c r="D95" s="60">
        <v>7</v>
      </c>
      <c r="E95" s="62">
        <v>1</v>
      </c>
      <c r="F95" s="60">
        <v>1</v>
      </c>
      <c r="G95" s="61">
        <v>-0.37806568533891394</v>
      </c>
      <c r="H95" s="61">
        <v>-0.67699741026567162</v>
      </c>
      <c r="I95" s="61">
        <v>-0.81342787967727681</v>
      </c>
      <c r="J95" s="61">
        <v>-1.1814449898616624</v>
      </c>
      <c r="K95" s="15">
        <v>2</v>
      </c>
    </row>
    <row r="96" spans="1:14" ht="18" customHeight="1" x14ac:dyDescent="0.3">
      <c r="A96" s="12"/>
      <c r="B96" s="60">
        <v>4</v>
      </c>
      <c r="C96" s="60">
        <v>0</v>
      </c>
      <c r="D96" s="60">
        <v>7</v>
      </c>
      <c r="E96" s="62">
        <v>2</v>
      </c>
      <c r="F96" s="60">
        <v>0</v>
      </c>
      <c r="G96" s="61">
        <v>-0.37806568533891394</v>
      </c>
      <c r="H96" s="61">
        <v>-0.67699741026567162</v>
      </c>
      <c r="I96" s="61">
        <v>-1.3589807460522612</v>
      </c>
      <c r="J96" s="61">
        <v>-1.9056239248799161</v>
      </c>
      <c r="K96" s="15">
        <v>2</v>
      </c>
    </row>
    <row r="97" spans="1:11" ht="18" customHeight="1" x14ac:dyDescent="0.3">
      <c r="A97" s="12"/>
      <c r="B97" s="60">
        <v>4</v>
      </c>
      <c r="C97" s="60">
        <v>0</v>
      </c>
      <c r="D97" s="60">
        <v>7</v>
      </c>
      <c r="E97" s="62">
        <v>2</v>
      </c>
      <c r="F97" s="60">
        <v>0</v>
      </c>
      <c r="G97" s="61">
        <v>-0.37806568533891394</v>
      </c>
      <c r="H97" s="61">
        <v>-0.67699741026567162</v>
      </c>
      <c r="I97" s="61">
        <v>-1.3589807460522612</v>
      </c>
      <c r="J97" s="61">
        <v>-1.9056239248799161</v>
      </c>
      <c r="K97" s="15">
        <v>2</v>
      </c>
    </row>
    <row r="98" spans="1:11" ht="15" customHeight="1" x14ac:dyDescent="0.3"/>
    <row r="99" spans="1:11" ht="15" customHeight="1" x14ac:dyDescent="0.3"/>
    <row r="100" spans="1:11" ht="15" customHeight="1" x14ac:dyDescent="0.3"/>
    <row r="101" spans="1:11" ht="18" customHeight="1" x14ac:dyDescent="0.3">
      <c r="A101" s="148" t="s">
        <v>54</v>
      </c>
      <c r="B101" s="149"/>
      <c r="C101" s="149"/>
      <c r="D101" s="149"/>
      <c r="E101" s="149"/>
      <c r="F101" s="149"/>
      <c r="G101" s="149"/>
      <c r="H101" s="149"/>
      <c r="I101" s="149"/>
      <c r="J101" s="149"/>
      <c r="K101" s="150"/>
    </row>
    <row r="102" spans="1:11" ht="18" customHeight="1" x14ac:dyDescent="0.3">
      <c r="A102" s="10" t="s">
        <v>5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12" t="s">
        <v>8</v>
      </c>
    </row>
    <row r="103" spans="1:11" ht="18" customHeight="1" x14ac:dyDescent="0.3">
      <c r="A103" s="12"/>
      <c r="B103" s="60">
        <v>3</v>
      </c>
      <c r="C103" s="60">
        <v>0</v>
      </c>
      <c r="D103" s="60">
        <v>7</v>
      </c>
      <c r="E103" s="62">
        <v>1</v>
      </c>
      <c r="F103" s="60">
        <v>0</v>
      </c>
      <c r="G103" s="61">
        <v>0.40872845598398955</v>
      </c>
      <c r="H103" s="61">
        <v>0.69225411753175969</v>
      </c>
      <c r="I103" s="61">
        <v>1.0973331755196423</v>
      </c>
      <c r="J103" s="61">
        <v>1.1955874992027573</v>
      </c>
      <c r="K103" s="15">
        <v>1</v>
      </c>
    </row>
    <row r="104" spans="1:11" ht="18" customHeight="1" x14ac:dyDescent="0.3">
      <c r="A104" s="12"/>
      <c r="B104" s="60">
        <v>4</v>
      </c>
      <c r="C104" s="60">
        <v>0</v>
      </c>
      <c r="D104" s="60">
        <v>7</v>
      </c>
      <c r="E104" s="62">
        <v>2</v>
      </c>
      <c r="F104" s="60">
        <v>1</v>
      </c>
      <c r="G104" s="61">
        <v>0.23923915005200891</v>
      </c>
      <c r="H104" s="61">
        <v>0.54607491198125124</v>
      </c>
      <c r="I104" s="61">
        <v>0.55066153579842136</v>
      </c>
      <c r="J104" s="61">
        <v>0.80910908540497495</v>
      </c>
      <c r="K104" s="15">
        <v>1</v>
      </c>
    </row>
    <row r="105" spans="1:11" ht="18" customHeight="1" x14ac:dyDescent="0.3">
      <c r="A105" s="12"/>
      <c r="B105" s="60">
        <v>2</v>
      </c>
      <c r="C105" s="60">
        <v>0</v>
      </c>
      <c r="D105" s="60">
        <v>3</v>
      </c>
      <c r="E105" s="62">
        <v>1</v>
      </c>
      <c r="F105" s="60">
        <v>1</v>
      </c>
      <c r="G105" s="61">
        <v>0.40872845598398955</v>
      </c>
      <c r="H105" s="61">
        <v>0.69225411753175958</v>
      </c>
      <c r="I105" s="61">
        <v>1.097333175519642</v>
      </c>
      <c r="J105" s="61">
        <v>1.2912243595415676</v>
      </c>
      <c r="K105" s="15">
        <v>1</v>
      </c>
    </row>
    <row r="106" spans="1:11" ht="18" customHeight="1" thickBot="1" x14ac:dyDescent="0.35">
      <c r="A106" s="29"/>
      <c r="B106" s="67">
        <v>4</v>
      </c>
      <c r="C106" s="67">
        <v>0</v>
      </c>
      <c r="D106" s="67">
        <v>7</v>
      </c>
      <c r="E106" s="93">
        <v>1</v>
      </c>
      <c r="F106" s="67">
        <v>0</v>
      </c>
      <c r="G106" s="68">
        <v>0.23923915005200891</v>
      </c>
      <c r="H106" s="68">
        <v>0.54607491198125124</v>
      </c>
      <c r="I106" s="68">
        <v>0.96858288142615678</v>
      </c>
      <c r="J106" s="68">
        <v>1.0814390907557363</v>
      </c>
      <c r="K106" s="25">
        <v>1</v>
      </c>
    </row>
    <row r="107" spans="1:11" ht="18" customHeight="1" x14ac:dyDescent="0.3">
      <c r="A107" s="22"/>
      <c r="B107" s="65">
        <v>4</v>
      </c>
      <c r="C107" s="65">
        <v>0</v>
      </c>
      <c r="D107" s="65">
        <v>3</v>
      </c>
      <c r="E107" s="92">
        <v>2</v>
      </c>
      <c r="F107" s="65">
        <v>0</v>
      </c>
      <c r="G107" s="66">
        <v>-0.37806568533891394</v>
      </c>
      <c r="H107" s="66">
        <v>-0.67699741026567173</v>
      </c>
      <c r="I107" s="66">
        <v>-1.3589807460522612</v>
      </c>
      <c r="J107" s="66">
        <v>-1.9056239248799161</v>
      </c>
      <c r="K107" s="27">
        <v>2</v>
      </c>
    </row>
    <row r="108" spans="1:11" ht="18" customHeight="1" x14ac:dyDescent="0.3">
      <c r="A108" s="12"/>
      <c r="B108" s="60">
        <v>2</v>
      </c>
      <c r="C108" s="60">
        <v>0</v>
      </c>
      <c r="D108" s="60">
        <v>7</v>
      </c>
      <c r="E108" s="62">
        <v>2</v>
      </c>
      <c r="F108" s="60">
        <v>0</v>
      </c>
      <c r="G108" s="61">
        <v>-0.14942741726637135</v>
      </c>
      <c r="H108" s="61">
        <v>-0.41361540108076145</v>
      </c>
      <c r="I108" s="61">
        <v>-1.0620337591921905</v>
      </c>
      <c r="J108" s="61">
        <v>-1.5793807325380578</v>
      </c>
      <c r="K108" s="15">
        <v>2</v>
      </c>
    </row>
    <row r="109" spans="1:11" ht="18" customHeight="1" x14ac:dyDescent="0.3">
      <c r="A109" s="12"/>
      <c r="B109" s="60">
        <v>3</v>
      </c>
      <c r="C109" s="60">
        <v>1</v>
      </c>
      <c r="D109" s="60">
        <v>6</v>
      </c>
      <c r="E109" s="62">
        <v>2</v>
      </c>
      <c r="F109" s="60">
        <v>1</v>
      </c>
      <c r="G109" s="61">
        <v>-0.32058777621177315</v>
      </c>
      <c r="H109" s="61">
        <v>-0.82013350598256329</v>
      </c>
      <c r="I109" s="61">
        <v>-1.5186565413621942</v>
      </c>
      <c r="J109" s="61">
        <v>-1.9627811825322841</v>
      </c>
      <c r="K109" s="15">
        <v>2</v>
      </c>
    </row>
    <row r="110" spans="1:11" ht="18" customHeight="1" x14ac:dyDescent="0.3">
      <c r="A110" s="12"/>
      <c r="B110" s="60">
        <v>4</v>
      </c>
      <c r="C110" s="60">
        <v>0</v>
      </c>
      <c r="D110" s="60">
        <v>7</v>
      </c>
      <c r="E110" s="62">
        <v>1</v>
      </c>
      <c r="F110" s="60">
        <v>1</v>
      </c>
      <c r="G110" s="61">
        <v>-0.37806568533891394</v>
      </c>
      <c r="H110" s="61">
        <v>-0.67699741026567162</v>
      </c>
      <c r="I110" s="61">
        <v>-0.81342787967727681</v>
      </c>
      <c r="J110" s="61">
        <v>-1.1814449898616624</v>
      </c>
      <c r="K110" s="15">
        <v>2</v>
      </c>
    </row>
    <row r="111" spans="1:11" ht="18" customHeight="1" x14ac:dyDescent="0.3">
      <c r="A111" s="12"/>
      <c r="B111" s="60">
        <v>4</v>
      </c>
      <c r="C111" s="60">
        <v>0</v>
      </c>
      <c r="D111" s="60">
        <v>7</v>
      </c>
      <c r="E111" s="62">
        <v>2</v>
      </c>
      <c r="F111" s="60">
        <v>0</v>
      </c>
      <c r="G111" s="61">
        <v>-0.37806568533891394</v>
      </c>
      <c r="H111" s="61">
        <v>-0.67699741026567162</v>
      </c>
      <c r="I111" s="61">
        <v>-1.3589807460522612</v>
      </c>
      <c r="J111" s="61">
        <v>-1.9056239248799161</v>
      </c>
      <c r="K111" s="15">
        <v>2</v>
      </c>
    </row>
    <row r="112" spans="1:11" ht="18" customHeight="1" x14ac:dyDescent="0.3">
      <c r="A112" s="12"/>
      <c r="B112" s="60">
        <v>4</v>
      </c>
      <c r="C112" s="60">
        <v>0</v>
      </c>
      <c r="D112" s="60">
        <v>7</v>
      </c>
      <c r="E112" s="62">
        <v>2</v>
      </c>
      <c r="F112" s="60">
        <v>0</v>
      </c>
      <c r="G112" s="61">
        <v>-0.37806568533891394</v>
      </c>
      <c r="H112" s="61">
        <v>-0.67699741026567162</v>
      </c>
      <c r="I112" s="61">
        <v>-1.3589807460522612</v>
      </c>
      <c r="J112" s="61">
        <v>-1.9056239248799161</v>
      </c>
      <c r="K112" s="15">
        <v>2</v>
      </c>
    </row>
    <row r="113" spans="1:14" ht="15" customHeight="1" x14ac:dyDescent="0.3"/>
    <row r="114" spans="1:14" ht="15" customHeight="1" x14ac:dyDescent="0.3"/>
    <row r="115" spans="1:14" ht="15" customHeight="1" x14ac:dyDescent="0.3"/>
    <row r="116" spans="1:14" ht="18" customHeight="1" x14ac:dyDescent="0.3">
      <c r="A116" s="131" t="s">
        <v>55</v>
      </c>
      <c r="B116" s="131"/>
      <c r="C116" s="131"/>
      <c r="D116" s="131"/>
      <c r="E116" s="131"/>
      <c r="F116" s="131"/>
      <c r="G116" s="131"/>
      <c r="I116" s="131" t="s">
        <v>56</v>
      </c>
      <c r="J116" s="131"/>
      <c r="K116" s="131"/>
      <c r="L116" s="131"/>
      <c r="M116" s="131"/>
      <c r="N116" s="131"/>
    </row>
    <row r="117" spans="1:14" ht="18" customHeight="1" x14ac:dyDescent="0.3">
      <c r="A117" s="10" t="s">
        <v>5</v>
      </c>
      <c r="B117" s="21"/>
      <c r="C117" s="21"/>
      <c r="D117" s="21"/>
      <c r="E117" s="21"/>
      <c r="F117" s="21"/>
      <c r="G117" s="12" t="s">
        <v>8</v>
      </c>
      <c r="I117" s="10" t="s">
        <v>5</v>
      </c>
      <c r="J117" s="21"/>
      <c r="K117" s="21"/>
      <c r="L117" s="21"/>
      <c r="M117" s="21"/>
      <c r="N117" s="12" t="s">
        <v>8</v>
      </c>
    </row>
    <row r="118" spans="1:14" ht="18" customHeight="1" x14ac:dyDescent="0.3">
      <c r="A118" s="12"/>
      <c r="B118" s="60">
        <v>3</v>
      </c>
      <c r="C118" s="60">
        <v>0</v>
      </c>
      <c r="D118" s="60">
        <v>7</v>
      </c>
      <c r="E118" s="62">
        <v>1</v>
      </c>
      <c r="F118" s="60">
        <v>0</v>
      </c>
      <c r="G118" s="15">
        <v>1</v>
      </c>
      <c r="I118" s="12"/>
      <c r="J118" s="61">
        <v>0.40872845598398955</v>
      </c>
      <c r="K118" s="61">
        <v>0.69225411753175969</v>
      </c>
      <c r="L118" s="61">
        <v>1.0973331755196423</v>
      </c>
      <c r="M118" s="61">
        <v>1.1955874992027573</v>
      </c>
      <c r="N118" s="15">
        <v>1</v>
      </c>
    </row>
    <row r="119" spans="1:14" ht="18" customHeight="1" x14ac:dyDescent="0.3">
      <c r="A119" s="12"/>
      <c r="B119" s="60">
        <v>4</v>
      </c>
      <c r="C119" s="60">
        <v>0</v>
      </c>
      <c r="D119" s="60">
        <v>7</v>
      </c>
      <c r="E119" s="62">
        <v>2</v>
      </c>
      <c r="F119" s="60">
        <v>1</v>
      </c>
      <c r="G119" s="15">
        <v>1</v>
      </c>
      <c r="I119" s="12"/>
      <c r="J119" s="61">
        <v>0.23923915005200891</v>
      </c>
      <c r="K119" s="61">
        <v>0.54607491198125124</v>
      </c>
      <c r="L119" s="61">
        <v>0.55066153579842136</v>
      </c>
      <c r="M119" s="61">
        <v>0.80910908540497495</v>
      </c>
      <c r="N119" s="15">
        <v>1</v>
      </c>
    </row>
    <row r="120" spans="1:14" ht="18" customHeight="1" x14ac:dyDescent="0.3">
      <c r="A120" s="12"/>
      <c r="B120" s="60">
        <v>2</v>
      </c>
      <c r="C120" s="60">
        <v>0</v>
      </c>
      <c r="D120" s="60">
        <v>3</v>
      </c>
      <c r="E120" s="62">
        <v>1</v>
      </c>
      <c r="F120" s="60">
        <v>1</v>
      </c>
      <c r="G120" s="15">
        <v>1</v>
      </c>
      <c r="I120" s="12"/>
      <c r="J120" s="61">
        <v>0.40872845598398955</v>
      </c>
      <c r="K120" s="61">
        <v>0.69225411753175958</v>
      </c>
      <c r="L120" s="61">
        <v>1.097333175519642</v>
      </c>
      <c r="M120" s="61">
        <v>1.2912243595415676</v>
      </c>
      <c r="N120" s="15">
        <v>1</v>
      </c>
    </row>
    <row r="121" spans="1:14" ht="18" customHeight="1" thickBot="1" x14ac:dyDescent="0.35">
      <c r="A121" s="29"/>
      <c r="B121" s="67">
        <v>4</v>
      </c>
      <c r="C121" s="67">
        <v>0</v>
      </c>
      <c r="D121" s="67">
        <v>7</v>
      </c>
      <c r="E121" s="93">
        <v>1</v>
      </c>
      <c r="F121" s="67">
        <v>0</v>
      </c>
      <c r="G121" s="25">
        <v>1</v>
      </c>
      <c r="I121" s="29"/>
      <c r="J121" s="68">
        <v>0.23923915005200891</v>
      </c>
      <c r="K121" s="68">
        <v>0.54607491198125124</v>
      </c>
      <c r="L121" s="68">
        <v>0.96858288142615678</v>
      </c>
      <c r="M121" s="68">
        <v>1.0814390907557363</v>
      </c>
      <c r="N121" s="25">
        <v>1</v>
      </c>
    </row>
    <row r="122" spans="1:14" ht="18" customHeight="1" x14ac:dyDescent="0.3">
      <c r="A122" s="22"/>
      <c r="B122" s="65">
        <v>4</v>
      </c>
      <c r="C122" s="65">
        <v>0</v>
      </c>
      <c r="D122" s="65">
        <v>3</v>
      </c>
      <c r="E122" s="109">
        <v>2</v>
      </c>
      <c r="F122" s="65">
        <v>0</v>
      </c>
      <c r="G122" s="27">
        <v>2</v>
      </c>
      <c r="I122" s="22"/>
      <c r="J122" s="66">
        <v>-0.37806568533891394</v>
      </c>
      <c r="K122" s="66">
        <v>-0.67699741026567173</v>
      </c>
      <c r="L122" s="66">
        <v>-1.3589807460522612</v>
      </c>
      <c r="M122" s="66">
        <v>-1.9056239248799161</v>
      </c>
      <c r="N122" s="27">
        <v>2</v>
      </c>
    </row>
    <row r="123" spans="1:14" ht="18" customHeight="1" x14ac:dyDescent="0.3">
      <c r="A123" s="12"/>
      <c r="B123" s="60">
        <v>2</v>
      </c>
      <c r="C123" s="60">
        <v>0</v>
      </c>
      <c r="D123" s="60">
        <v>7</v>
      </c>
      <c r="E123" s="62">
        <v>2</v>
      </c>
      <c r="F123" s="60">
        <v>0</v>
      </c>
      <c r="G123" s="15">
        <v>2</v>
      </c>
      <c r="I123" s="12"/>
      <c r="J123" s="61">
        <v>-0.14942741726637135</v>
      </c>
      <c r="K123" s="61">
        <v>-0.41361540108076145</v>
      </c>
      <c r="L123" s="61">
        <v>-1.0620337591921905</v>
      </c>
      <c r="M123" s="61">
        <v>-1.5793807325380578</v>
      </c>
      <c r="N123" s="15">
        <v>2</v>
      </c>
    </row>
    <row r="124" spans="1:14" ht="18" customHeight="1" x14ac:dyDescent="0.3">
      <c r="A124" s="12"/>
      <c r="B124" s="60">
        <v>3</v>
      </c>
      <c r="C124" s="60">
        <v>1</v>
      </c>
      <c r="D124" s="60">
        <v>6</v>
      </c>
      <c r="E124" s="62">
        <v>2</v>
      </c>
      <c r="F124" s="60">
        <v>1</v>
      </c>
      <c r="G124" s="15">
        <v>2</v>
      </c>
      <c r="I124" s="12"/>
      <c r="J124" s="61">
        <v>-0.32058777621177315</v>
      </c>
      <c r="K124" s="61">
        <v>-0.82013350598256329</v>
      </c>
      <c r="L124" s="61">
        <v>-1.5186565413621942</v>
      </c>
      <c r="M124" s="61">
        <v>-1.9627811825322841</v>
      </c>
      <c r="N124" s="15">
        <v>2</v>
      </c>
    </row>
    <row r="125" spans="1:14" ht="18" customHeight="1" x14ac:dyDescent="0.3">
      <c r="A125" s="12"/>
      <c r="B125" s="60">
        <v>4</v>
      </c>
      <c r="C125" s="60">
        <v>0</v>
      </c>
      <c r="D125" s="60">
        <v>7</v>
      </c>
      <c r="E125" s="62">
        <v>1</v>
      </c>
      <c r="F125" s="60">
        <v>1</v>
      </c>
      <c r="G125" s="15">
        <v>2</v>
      </c>
      <c r="I125" s="12"/>
      <c r="J125" s="61">
        <v>-0.37806568533891394</v>
      </c>
      <c r="K125" s="61">
        <v>-0.67699741026567162</v>
      </c>
      <c r="L125" s="61">
        <v>-0.81342787967727681</v>
      </c>
      <c r="M125" s="61">
        <v>-1.1814449898616624</v>
      </c>
      <c r="N125" s="15">
        <v>2</v>
      </c>
    </row>
    <row r="126" spans="1:14" ht="18" customHeight="1" x14ac:dyDescent="0.3">
      <c r="A126" s="12"/>
      <c r="B126" s="60">
        <v>4</v>
      </c>
      <c r="C126" s="60">
        <v>0</v>
      </c>
      <c r="D126" s="60">
        <v>7</v>
      </c>
      <c r="E126" s="62">
        <v>2</v>
      </c>
      <c r="F126" s="60">
        <v>0</v>
      </c>
      <c r="G126" s="15">
        <v>2</v>
      </c>
      <c r="I126" s="12"/>
      <c r="J126" s="61">
        <v>-0.37806568533891394</v>
      </c>
      <c r="K126" s="61">
        <v>-0.67699741026567162</v>
      </c>
      <c r="L126" s="61">
        <v>-1.3589807460522612</v>
      </c>
      <c r="M126" s="61">
        <v>-1.9056239248799161</v>
      </c>
      <c r="N126" s="15">
        <v>2</v>
      </c>
    </row>
    <row r="127" spans="1:14" ht="18" customHeight="1" x14ac:dyDescent="0.3">
      <c r="A127" s="12"/>
      <c r="B127" s="60">
        <v>4</v>
      </c>
      <c r="C127" s="60">
        <v>0</v>
      </c>
      <c r="D127" s="60">
        <v>7</v>
      </c>
      <c r="E127" s="62">
        <v>2</v>
      </c>
      <c r="F127" s="60">
        <v>0</v>
      </c>
      <c r="G127" s="15">
        <v>2</v>
      </c>
      <c r="I127" s="12"/>
      <c r="J127" s="61">
        <v>-0.37806568533891394</v>
      </c>
      <c r="K127" s="61">
        <v>-0.67699741026567162</v>
      </c>
      <c r="L127" s="61">
        <v>-1.3589807460522612</v>
      </c>
      <c r="M127" s="61">
        <v>-1.9056239248799161</v>
      </c>
      <c r="N127" s="15">
        <v>2</v>
      </c>
    </row>
  </sheetData>
  <mergeCells count="21">
    <mergeCell ref="A21:K21"/>
    <mergeCell ref="M26:N26"/>
    <mergeCell ref="M25:N25"/>
    <mergeCell ref="A1:G1"/>
    <mergeCell ref="I1:N1"/>
    <mergeCell ref="E18:G19"/>
    <mergeCell ref="B14:D14"/>
    <mergeCell ref="J14:L14"/>
    <mergeCell ref="A116:G116"/>
    <mergeCell ref="A36:O36"/>
    <mergeCell ref="A40:O40"/>
    <mergeCell ref="A86:K86"/>
    <mergeCell ref="A101:K101"/>
    <mergeCell ref="I116:N116"/>
    <mergeCell ref="A68:G68"/>
    <mergeCell ref="A42:E42"/>
    <mergeCell ref="F45:K45"/>
    <mergeCell ref="A75:G75"/>
    <mergeCell ref="H54:H55"/>
    <mergeCell ref="H59:H60"/>
    <mergeCell ref="A82:N8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B277-B2A6-4FF2-86DE-CBC0BEA2551B}">
  <dimension ref="A1:R236"/>
  <sheetViews>
    <sheetView topLeftCell="A100" zoomScaleNormal="100" workbookViewId="0">
      <selection activeCell="E127" sqref="E127"/>
    </sheetView>
  </sheetViews>
  <sheetFormatPr defaultRowHeight="14.4" x14ac:dyDescent="0.3"/>
  <cols>
    <col min="2" max="18" width="14.77734375" customWidth="1"/>
  </cols>
  <sheetData>
    <row r="1" spans="1:17" ht="18" customHeight="1" x14ac:dyDescent="0.3">
      <c r="A1" s="131" t="s">
        <v>55</v>
      </c>
      <c r="B1" s="131"/>
      <c r="C1" s="131"/>
      <c r="D1" s="131"/>
      <c r="E1" s="131"/>
      <c r="F1" s="131"/>
      <c r="G1" s="131"/>
      <c r="I1" s="131" t="s">
        <v>56</v>
      </c>
      <c r="J1" s="131"/>
      <c r="K1" s="131"/>
      <c r="L1" s="131"/>
      <c r="M1" s="131"/>
      <c r="N1" s="131"/>
    </row>
    <row r="2" spans="1:17" ht="18" customHeight="1" x14ac:dyDescent="0.3">
      <c r="A2" s="10"/>
      <c r="B2" s="21"/>
      <c r="C2" s="21"/>
      <c r="D2" s="21"/>
      <c r="E2" s="21"/>
      <c r="F2" s="21"/>
      <c r="G2" s="12" t="s">
        <v>8</v>
      </c>
      <c r="I2" s="10"/>
      <c r="J2" s="21"/>
      <c r="K2" s="21"/>
      <c r="L2" s="21"/>
      <c r="M2" s="21"/>
      <c r="N2" s="12" t="s">
        <v>8</v>
      </c>
      <c r="P2" s="54"/>
      <c r="Q2" s="57"/>
    </row>
    <row r="3" spans="1:17" ht="18" customHeight="1" x14ac:dyDescent="0.3">
      <c r="A3" s="12"/>
      <c r="B3" s="60">
        <v>3</v>
      </c>
      <c r="C3" s="60">
        <v>0</v>
      </c>
      <c r="D3" s="60">
        <v>7</v>
      </c>
      <c r="E3" s="62">
        <v>1</v>
      </c>
      <c r="F3" s="60">
        <v>0</v>
      </c>
      <c r="G3" s="15">
        <v>1</v>
      </c>
      <c r="I3" s="12"/>
      <c r="J3" s="61">
        <v>0.40872845598398955</v>
      </c>
      <c r="K3" s="61">
        <v>0.69225411753175969</v>
      </c>
      <c r="L3" s="61">
        <v>1.0973331755196423</v>
      </c>
      <c r="M3" s="61">
        <v>1.1955874992027573</v>
      </c>
      <c r="N3" s="15">
        <v>1</v>
      </c>
      <c r="P3" s="55"/>
      <c r="Q3" s="56">
        <v>5</v>
      </c>
    </row>
    <row r="4" spans="1:17" ht="18" customHeight="1" x14ac:dyDescent="0.3">
      <c r="A4" s="12"/>
      <c r="B4" s="60">
        <v>4</v>
      </c>
      <c r="C4" s="60">
        <v>0</v>
      </c>
      <c r="D4" s="60">
        <v>7</v>
      </c>
      <c r="E4" s="62">
        <v>2</v>
      </c>
      <c r="F4" s="60">
        <v>1</v>
      </c>
      <c r="G4" s="15">
        <v>1</v>
      </c>
      <c r="I4" s="12"/>
      <c r="J4" s="61">
        <v>0.23923915005200891</v>
      </c>
      <c r="K4" s="61">
        <v>0.54607491198125124</v>
      </c>
      <c r="L4" s="61">
        <v>0.55066153579842136</v>
      </c>
      <c r="M4" s="61">
        <v>0.80910908540497495</v>
      </c>
      <c r="N4" s="15">
        <v>1</v>
      </c>
      <c r="P4" s="55"/>
      <c r="Q4" s="56">
        <f>Q3-1</f>
        <v>4</v>
      </c>
    </row>
    <row r="5" spans="1:17" ht="18" customHeight="1" x14ac:dyDescent="0.3">
      <c r="A5" s="12"/>
      <c r="B5" s="60">
        <v>2</v>
      </c>
      <c r="C5" s="60">
        <v>0</v>
      </c>
      <c r="D5" s="60">
        <v>3</v>
      </c>
      <c r="E5" s="62">
        <v>1</v>
      </c>
      <c r="F5" s="60">
        <v>1</v>
      </c>
      <c r="G5" s="15">
        <v>1</v>
      </c>
      <c r="I5" s="12"/>
      <c r="J5" s="61">
        <v>0.40872845598398955</v>
      </c>
      <c r="K5" s="61">
        <v>0.69225411753175958</v>
      </c>
      <c r="L5" s="61">
        <v>1.097333175519642</v>
      </c>
      <c r="M5" s="61">
        <v>1.2912243595415676</v>
      </c>
      <c r="N5" s="15">
        <v>1</v>
      </c>
    </row>
    <row r="6" spans="1:17" ht="18" customHeight="1" thickBot="1" x14ac:dyDescent="0.35">
      <c r="A6" s="29"/>
      <c r="B6" s="67">
        <v>4</v>
      </c>
      <c r="C6" s="67">
        <v>0</v>
      </c>
      <c r="D6" s="67">
        <v>7</v>
      </c>
      <c r="E6" s="93">
        <v>1</v>
      </c>
      <c r="F6" s="67">
        <v>0</v>
      </c>
      <c r="G6" s="25">
        <v>1</v>
      </c>
      <c r="I6" s="29"/>
      <c r="J6" s="68">
        <v>0.23923915005200891</v>
      </c>
      <c r="K6" s="68">
        <v>0.54607491198125124</v>
      </c>
      <c r="L6" s="68">
        <v>0.96858288142615678</v>
      </c>
      <c r="M6" s="68">
        <v>1.0814390907557363</v>
      </c>
      <c r="N6" s="25">
        <v>1</v>
      </c>
      <c r="P6" s="104"/>
      <c r="Q6" s="105">
        <v>4</v>
      </c>
    </row>
    <row r="7" spans="1:17" ht="18" customHeight="1" x14ac:dyDescent="0.3">
      <c r="A7" s="22"/>
      <c r="B7" s="65">
        <v>4</v>
      </c>
      <c r="C7" s="65">
        <v>0</v>
      </c>
      <c r="D7" s="65">
        <v>3</v>
      </c>
      <c r="E7" s="92">
        <v>2</v>
      </c>
      <c r="F7" s="65">
        <v>0</v>
      </c>
      <c r="G7" s="27">
        <v>2</v>
      </c>
      <c r="I7" s="22"/>
      <c r="J7" s="66">
        <v>-0.37806568533891394</v>
      </c>
      <c r="K7" s="66">
        <v>-0.67699741026567173</v>
      </c>
      <c r="L7" s="66">
        <v>-1.3589807460522612</v>
      </c>
      <c r="M7" s="66">
        <v>-1.9056239248799161</v>
      </c>
      <c r="N7" s="27">
        <v>2</v>
      </c>
      <c r="P7" s="104"/>
      <c r="Q7" s="105">
        <v>6</v>
      </c>
    </row>
    <row r="8" spans="1:17" ht="18" customHeight="1" x14ac:dyDescent="0.3">
      <c r="A8" s="12"/>
      <c r="B8" s="60">
        <v>2</v>
      </c>
      <c r="C8" s="60">
        <v>0</v>
      </c>
      <c r="D8" s="60">
        <v>7</v>
      </c>
      <c r="E8" s="62">
        <v>2</v>
      </c>
      <c r="F8" s="60">
        <v>0</v>
      </c>
      <c r="G8" s="15">
        <v>2</v>
      </c>
      <c r="I8" s="12"/>
      <c r="J8" s="61">
        <v>-0.14942741726637135</v>
      </c>
      <c r="K8" s="61">
        <v>-0.41361540108076145</v>
      </c>
      <c r="L8" s="61">
        <v>-1.0620337591921905</v>
      </c>
      <c r="M8" s="61">
        <v>-1.5793807325380578</v>
      </c>
      <c r="N8" s="15">
        <v>2</v>
      </c>
    </row>
    <row r="9" spans="1:17" ht="18" customHeight="1" x14ac:dyDescent="0.3">
      <c r="A9" s="12"/>
      <c r="B9" s="60">
        <v>3</v>
      </c>
      <c r="C9" s="60">
        <v>1</v>
      </c>
      <c r="D9" s="60">
        <v>6</v>
      </c>
      <c r="E9" s="62">
        <v>2</v>
      </c>
      <c r="F9" s="60">
        <v>1</v>
      </c>
      <c r="G9" s="15">
        <v>2</v>
      </c>
      <c r="I9" s="12"/>
      <c r="J9" s="61">
        <v>-0.32058777621177315</v>
      </c>
      <c r="K9" s="61">
        <v>-0.82013350598256329</v>
      </c>
      <c r="L9" s="61">
        <v>-1.5186565413621942</v>
      </c>
      <c r="M9" s="61">
        <v>-1.9627811825322841</v>
      </c>
      <c r="N9" s="15">
        <v>2</v>
      </c>
    </row>
    <row r="10" spans="1:17" ht="18" customHeight="1" x14ac:dyDescent="0.3">
      <c r="A10" s="12"/>
      <c r="B10" s="60">
        <v>4</v>
      </c>
      <c r="C10" s="60">
        <v>0</v>
      </c>
      <c r="D10" s="60">
        <v>7</v>
      </c>
      <c r="E10" s="62">
        <v>1</v>
      </c>
      <c r="F10" s="60">
        <v>1</v>
      </c>
      <c r="G10" s="15">
        <v>2</v>
      </c>
      <c r="I10" s="12"/>
      <c r="J10" s="61">
        <v>-0.37806568533891394</v>
      </c>
      <c r="K10" s="61">
        <v>-0.67699741026567195</v>
      </c>
      <c r="L10" s="61">
        <v>-0.81342787967727681</v>
      </c>
      <c r="M10" s="61">
        <v>-1.1814449898616624</v>
      </c>
      <c r="N10" s="15">
        <v>2</v>
      </c>
    </row>
    <row r="11" spans="1:17" ht="18" customHeight="1" x14ac:dyDescent="0.3">
      <c r="A11" s="12"/>
      <c r="B11" s="60">
        <v>4</v>
      </c>
      <c r="C11" s="60">
        <v>0</v>
      </c>
      <c r="D11" s="60">
        <v>7</v>
      </c>
      <c r="E11" s="62">
        <v>2</v>
      </c>
      <c r="F11" s="60">
        <v>0</v>
      </c>
      <c r="G11" s="15">
        <v>2</v>
      </c>
      <c r="I11" s="12"/>
      <c r="J11" s="61">
        <v>-0.37806568533891394</v>
      </c>
      <c r="K11" s="61">
        <v>-0.67699741026567162</v>
      </c>
      <c r="L11" s="61">
        <v>-1.3589807460522612</v>
      </c>
      <c r="M11" s="61">
        <v>-1.9056239248799161</v>
      </c>
      <c r="N11" s="15">
        <v>2</v>
      </c>
    </row>
    <row r="12" spans="1:17" ht="18" customHeight="1" x14ac:dyDescent="0.3">
      <c r="A12" s="12"/>
      <c r="B12" s="60">
        <v>4</v>
      </c>
      <c r="C12" s="60">
        <v>0</v>
      </c>
      <c r="D12" s="60">
        <v>7</v>
      </c>
      <c r="E12" s="62">
        <v>2</v>
      </c>
      <c r="F12" s="60">
        <v>0</v>
      </c>
      <c r="G12" s="15">
        <v>2</v>
      </c>
      <c r="I12" s="12"/>
      <c r="J12" s="61">
        <v>-0.37806568533891394</v>
      </c>
      <c r="K12" s="61">
        <v>-0.67699741026567162</v>
      </c>
      <c r="L12" s="61">
        <v>-1.3589807460522612</v>
      </c>
      <c r="M12" s="61">
        <v>-1.9056239248799161</v>
      </c>
      <c r="N12" s="15">
        <v>2</v>
      </c>
    </row>
    <row r="13" spans="1:17" ht="14.4" customHeight="1" x14ac:dyDescent="0.3"/>
    <row r="14" spans="1:17" ht="14.4" customHeight="1" x14ac:dyDescent="0.3"/>
    <row r="15" spans="1:17" ht="14.4" customHeight="1" x14ac:dyDescent="0.3"/>
    <row r="16" spans="1:17" ht="18" customHeight="1" x14ac:dyDescent="0.3">
      <c r="A16" s="174" t="s">
        <v>57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</row>
    <row r="17" spans="1:11" ht="14.4" customHeight="1" x14ac:dyDescent="0.3"/>
    <row r="18" spans="1:11" ht="18" customHeight="1" x14ac:dyDescent="0.3">
      <c r="A18" s="214"/>
      <c r="B18" s="214"/>
      <c r="C18" s="214"/>
      <c r="D18" s="214"/>
      <c r="E18" s="214"/>
      <c r="F18" s="214"/>
      <c r="G18" s="214"/>
      <c r="H18" s="214"/>
      <c r="J18" s="55"/>
      <c r="K18" s="56">
        <f>Q3-1</f>
        <v>4</v>
      </c>
    </row>
    <row r="19" spans="1:11" ht="18" customHeight="1" x14ac:dyDescent="0.3">
      <c r="A19" s="214"/>
      <c r="B19" s="214"/>
      <c r="C19" s="214"/>
      <c r="D19" s="214"/>
      <c r="E19" s="214"/>
      <c r="F19" s="214"/>
      <c r="G19" s="214"/>
      <c r="H19" s="214"/>
      <c r="J19" s="55"/>
      <c r="K19" s="56">
        <v>0</v>
      </c>
    </row>
    <row r="20" spans="1:11" ht="14.4" customHeight="1" x14ac:dyDescent="0.3"/>
    <row r="21" spans="1:11" ht="14.4" customHeight="1" x14ac:dyDescent="0.3"/>
    <row r="22" spans="1:11" ht="18" customHeight="1" x14ac:dyDescent="0.3">
      <c r="A22" s="131" t="s">
        <v>51</v>
      </c>
      <c r="B22" s="131"/>
      <c r="C22" s="131"/>
      <c r="D22" s="131"/>
      <c r="E22" s="131"/>
      <c r="F22" s="131"/>
      <c r="G22" s="131"/>
    </row>
    <row r="23" spans="1:11" ht="18" customHeight="1" x14ac:dyDescent="0.3">
      <c r="A23" s="10"/>
      <c r="B23" s="21"/>
      <c r="C23" s="21"/>
      <c r="D23" s="21"/>
      <c r="E23" s="21"/>
      <c r="F23" s="21"/>
      <c r="G23" s="12" t="s">
        <v>8</v>
      </c>
    </row>
    <row r="24" spans="1:11" ht="18" customHeight="1" x14ac:dyDescent="0.3">
      <c r="A24" s="12"/>
      <c r="B24" s="63">
        <v>4</v>
      </c>
      <c r="C24" s="63">
        <v>0</v>
      </c>
      <c r="D24" s="63">
        <v>7</v>
      </c>
      <c r="E24" s="62">
        <v>2</v>
      </c>
      <c r="F24" s="63">
        <v>0</v>
      </c>
      <c r="G24" s="106" t="s">
        <v>80</v>
      </c>
    </row>
    <row r="25" spans="1:11" ht="18" customHeight="1" x14ac:dyDescent="0.3">
      <c r="A25" s="64"/>
      <c r="B25" s="16">
        <v>3</v>
      </c>
      <c r="C25" s="16">
        <v>6</v>
      </c>
      <c r="D25" s="16">
        <v>13</v>
      </c>
      <c r="E25" s="16">
        <v>4</v>
      </c>
      <c r="F25" s="16">
        <v>9</v>
      </c>
    </row>
    <row r="26" spans="1:11" ht="18" customHeight="1" x14ac:dyDescent="0.3">
      <c r="B26" s="69" t="s">
        <v>52</v>
      </c>
    </row>
    <row r="27" spans="1:11" ht="14.4" customHeight="1" x14ac:dyDescent="0.3"/>
    <row r="28" spans="1:11" ht="15" customHeight="1" x14ac:dyDescent="0.3"/>
    <row r="29" spans="1:11" ht="18" customHeight="1" x14ac:dyDescent="0.3">
      <c r="A29" s="10"/>
      <c r="B29" s="11"/>
    </row>
    <row r="30" spans="1:11" ht="18" customHeight="1" x14ac:dyDescent="0.3">
      <c r="A30" s="12"/>
      <c r="B30" s="60">
        <v>3</v>
      </c>
      <c r="D30" s="131" t="s">
        <v>60</v>
      </c>
      <c r="E30" s="131"/>
      <c r="F30" s="131"/>
      <c r="G30" s="131"/>
      <c r="H30" s="131"/>
      <c r="I30" s="131"/>
    </row>
    <row r="31" spans="1:11" ht="18" customHeight="1" x14ac:dyDescent="0.3">
      <c r="A31" s="12"/>
      <c r="B31" s="60">
        <v>4</v>
      </c>
      <c r="D31" s="10"/>
      <c r="E31" s="21"/>
      <c r="F31" s="22" t="s">
        <v>8</v>
      </c>
    </row>
    <row r="32" spans="1:11" ht="18" customHeight="1" x14ac:dyDescent="0.3">
      <c r="A32" s="12"/>
      <c r="B32" s="60">
        <v>2</v>
      </c>
      <c r="C32" s="70" t="s">
        <v>58</v>
      </c>
      <c r="D32" s="12"/>
      <c r="E32" s="60">
        <v>4</v>
      </c>
      <c r="F32" s="15">
        <v>1</v>
      </c>
      <c r="G32" s="223"/>
      <c r="H32" s="227" t="s">
        <v>58</v>
      </c>
      <c r="I32" s="188"/>
      <c r="J32" s="189"/>
    </row>
    <row r="33" spans="1:11" ht="18" customHeight="1" thickBot="1" x14ac:dyDescent="0.35">
      <c r="A33" s="29"/>
      <c r="B33" s="67">
        <v>4</v>
      </c>
      <c r="D33" s="29"/>
      <c r="E33" s="67">
        <v>4</v>
      </c>
      <c r="F33" s="25">
        <v>1</v>
      </c>
      <c r="G33" s="224"/>
      <c r="H33" s="228"/>
      <c r="I33" s="190"/>
      <c r="J33" s="191"/>
    </row>
    <row r="34" spans="1:11" ht="18" customHeight="1" x14ac:dyDescent="0.3">
      <c r="A34" s="22"/>
      <c r="B34" s="65">
        <v>4</v>
      </c>
      <c r="D34" s="22"/>
      <c r="E34" s="65">
        <v>4</v>
      </c>
      <c r="F34" s="27">
        <v>2</v>
      </c>
      <c r="G34" s="225"/>
      <c r="H34" s="229" t="s">
        <v>58</v>
      </c>
      <c r="I34" s="219"/>
      <c r="J34" s="220"/>
    </row>
    <row r="35" spans="1:11" ht="18" customHeight="1" x14ac:dyDescent="0.3">
      <c r="A35" s="12"/>
      <c r="B35" s="60">
        <v>2</v>
      </c>
      <c r="C35" s="70" t="s">
        <v>58</v>
      </c>
      <c r="D35" s="12"/>
      <c r="E35" s="60">
        <v>4</v>
      </c>
      <c r="F35" s="15">
        <v>2</v>
      </c>
      <c r="G35" s="225"/>
      <c r="H35" s="227"/>
      <c r="I35" s="221"/>
      <c r="J35" s="222"/>
    </row>
    <row r="36" spans="1:11" ht="18" customHeight="1" x14ac:dyDescent="0.3">
      <c r="A36" s="12"/>
      <c r="B36" s="60">
        <v>3</v>
      </c>
      <c r="D36" s="12"/>
      <c r="E36" s="60">
        <v>4</v>
      </c>
      <c r="F36" s="15">
        <v>2</v>
      </c>
      <c r="G36" s="225"/>
      <c r="H36" s="227"/>
      <c r="I36" s="221"/>
      <c r="J36" s="222"/>
    </row>
    <row r="37" spans="1:11" ht="18" customHeight="1" x14ac:dyDescent="0.3">
      <c r="A37" s="12"/>
      <c r="B37" s="60">
        <v>4</v>
      </c>
      <c r="D37" s="12"/>
      <c r="E37" s="60">
        <v>4</v>
      </c>
      <c r="F37" s="15">
        <v>2</v>
      </c>
      <c r="G37" s="226"/>
      <c r="H37" s="227"/>
      <c r="I37" s="184"/>
      <c r="J37" s="185"/>
    </row>
    <row r="38" spans="1:11" ht="18" customHeight="1" x14ac:dyDescent="0.3">
      <c r="A38" s="12"/>
      <c r="B38" s="60">
        <v>4</v>
      </c>
    </row>
    <row r="39" spans="1:11" ht="18" customHeight="1" x14ac:dyDescent="0.3">
      <c r="A39" s="12"/>
      <c r="B39" s="60">
        <v>4</v>
      </c>
    </row>
    <row r="40" spans="1:11" ht="14.4" customHeight="1" x14ac:dyDescent="0.3"/>
    <row r="41" spans="1:11" ht="14.4" customHeight="1" x14ac:dyDescent="0.3"/>
    <row r="42" spans="1:11" ht="14.4" customHeight="1" x14ac:dyDescent="0.3"/>
    <row r="43" spans="1:11" ht="18" customHeight="1" x14ac:dyDescent="0.3">
      <c r="A43" s="174" t="s">
        <v>59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</row>
    <row r="44" spans="1:11" ht="14.4" customHeight="1" x14ac:dyDescent="0.3"/>
    <row r="45" spans="1:11" ht="18" customHeight="1" x14ac:dyDescent="0.3">
      <c r="A45" s="214"/>
      <c r="B45" s="214"/>
      <c r="C45" s="214"/>
      <c r="D45" s="214"/>
      <c r="E45" s="214"/>
      <c r="F45" s="214"/>
      <c r="G45" s="214"/>
      <c r="H45" s="214"/>
      <c r="J45" s="55"/>
      <c r="K45" s="56">
        <f>Q3-1</f>
        <v>4</v>
      </c>
    </row>
    <row r="46" spans="1:11" ht="18" customHeight="1" x14ac:dyDescent="0.3">
      <c r="A46" s="214"/>
      <c r="B46" s="214"/>
      <c r="C46" s="214"/>
      <c r="D46" s="214"/>
      <c r="E46" s="214"/>
      <c r="F46" s="214"/>
      <c r="G46" s="214"/>
      <c r="H46" s="214"/>
      <c r="J46" s="55"/>
      <c r="K46" s="56">
        <v>1</v>
      </c>
    </row>
    <row r="47" spans="1:11" ht="14.4" customHeight="1" x14ac:dyDescent="0.3"/>
    <row r="48" spans="1:11" ht="14.4" customHeight="1" x14ac:dyDescent="0.3"/>
    <row r="49" spans="1:18" ht="18" customHeight="1" x14ac:dyDescent="0.3">
      <c r="A49" s="131" t="s">
        <v>51</v>
      </c>
      <c r="B49" s="131"/>
      <c r="C49" s="131"/>
      <c r="D49" s="131"/>
      <c r="E49" s="131"/>
      <c r="F49" s="131"/>
      <c r="G49" s="131"/>
    </row>
    <row r="50" spans="1:18" ht="18" customHeight="1" x14ac:dyDescent="0.3">
      <c r="A50" s="10"/>
      <c r="B50" s="21"/>
      <c r="C50" s="21"/>
      <c r="D50" s="21"/>
      <c r="E50" s="21"/>
      <c r="F50" s="21"/>
      <c r="G50" s="12" t="s">
        <v>8</v>
      </c>
    </row>
    <row r="51" spans="1:18" ht="18" customHeight="1" x14ac:dyDescent="0.3">
      <c r="A51" s="12"/>
      <c r="B51" s="63">
        <v>4</v>
      </c>
      <c r="C51" s="63">
        <v>0</v>
      </c>
      <c r="D51" s="63">
        <v>7</v>
      </c>
      <c r="E51" s="62">
        <v>2</v>
      </c>
      <c r="F51" s="63">
        <v>0</v>
      </c>
      <c r="G51" s="106" t="s">
        <v>80</v>
      </c>
    </row>
    <row r="52" spans="1:18" ht="18" customHeight="1" x14ac:dyDescent="0.3">
      <c r="A52" s="64"/>
      <c r="B52" s="16">
        <v>3</v>
      </c>
      <c r="C52" s="16">
        <v>6</v>
      </c>
      <c r="D52" s="16">
        <v>13</v>
      </c>
      <c r="E52" s="16">
        <v>4</v>
      </c>
      <c r="F52" s="16">
        <v>9</v>
      </c>
    </row>
    <row r="53" spans="1:18" ht="18" customHeight="1" x14ac:dyDescent="0.3">
      <c r="C53" s="69" t="s">
        <v>52</v>
      </c>
    </row>
    <row r="54" spans="1:18" ht="18" customHeight="1" x14ac:dyDescent="0.3"/>
    <row r="55" spans="1:18" ht="18" customHeight="1" x14ac:dyDescent="0.3">
      <c r="A55" s="148" t="s">
        <v>61</v>
      </c>
      <c r="B55" s="149"/>
      <c r="C55" s="149"/>
      <c r="D55" s="149"/>
      <c r="E55" s="150"/>
      <c r="J55" s="215" t="s">
        <v>64</v>
      </c>
    </row>
    <row r="56" spans="1:18" ht="18" customHeight="1" x14ac:dyDescent="0.3">
      <c r="A56" s="10"/>
      <c r="B56" s="11"/>
      <c r="J56" s="215"/>
    </row>
    <row r="57" spans="1:18" ht="18" customHeight="1" x14ac:dyDescent="0.3">
      <c r="A57" s="12"/>
      <c r="B57" s="60">
        <v>0</v>
      </c>
      <c r="J57" s="215"/>
      <c r="M57" s="196" t="s">
        <v>63</v>
      </c>
      <c r="N57" s="196"/>
      <c r="O57" s="196"/>
    </row>
    <row r="58" spans="1:18" ht="18" customHeight="1" x14ac:dyDescent="0.3">
      <c r="A58" s="12"/>
      <c r="B58" s="60">
        <v>0</v>
      </c>
      <c r="D58" s="188"/>
      <c r="E58" s="189"/>
      <c r="G58" s="10"/>
      <c r="H58" s="11"/>
      <c r="J58" s="11" t="s">
        <v>65</v>
      </c>
      <c r="M58" s="94"/>
      <c r="N58" s="11" t="s">
        <v>66</v>
      </c>
      <c r="O58" s="11" t="s">
        <v>69</v>
      </c>
    </row>
    <row r="59" spans="1:18" ht="18" customHeight="1" x14ac:dyDescent="0.3">
      <c r="A59" s="12"/>
      <c r="B59" s="60">
        <v>0</v>
      </c>
      <c r="C59" s="70" t="s">
        <v>58</v>
      </c>
      <c r="D59" s="203"/>
      <c r="E59" s="204"/>
      <c r="F59" s="70" t="s">
        <v>58</v>
      </c>
      <c r="G59" s="12"/>
      <c r="H59" s="60">
        <v>0</v>
      </c>
      <c r="I59" s="70" t="s">
        <v>58</v>
      </c>
      <c r="J59" s="72" t="s">
        <v>62</v>
      </c>
      <c r="L59" s="216"/>
      <c r="M59" s="76">
        <v>0.23923915005200891</v>
      </c>
      <c r="N59" s="75" t="s">
        <v>67</v>
      </c>
      <c r="O59" s="72" t="s">
        <v>62</v>
      </c>
      <c r="P59" s="70" t="s">
        <v>58</v>
      </c>
      <c r="Q59" s="188"/>
      <c r="R59" s="189"/>
    </row>
    <row r="60" spans="1:18" ht="18" customHeight="1" thickBot="1" x14ac:dyDescent="0.35">
      <c r="A60" s="29"/>
      <c r="B60" s="67">
        <v>0</v>
      </c>
      <c r="C60" s="85"/>
      <c r="D60" s="86"/>
      <c r="E60" s="86"/>
      <c r="F60" s="87"/>
      <c r="G60" s="29"/>
      <c r="H60" s="67">
        <v>0</v>
      </c>
      <c r="I60" s="180"/>
      <c r="J60" s="74" t="s">
        <v>62</v>
      </c>
      <c r="K60" s="83" t="s">
        <v>70</v>
      </c>
      <c r="L60" s="217"/>
      <c r="M60" s="77">
        <v>0.23923915005200891</v>
      </c>
      <c r="N60" s="80" t="s">
        <v>67</v>
      </c>
      <c r="O60" s="74" t="s">
        <v>62</v>
      </c>
      <c r="P60" s="79"/>
      <c r="Q60" s="190"/>
      <c r="R60" s="191"/>
    </row>
    <row r="61" spans="1:18" ht="18" customHeight="1" x14ac:dyDescent="0.3">
      <c r="A61" s="22"/>
      <c r="B61" s="65">
        <v>0</v>
      </c>
      <c r="G61" s="22"/>
      <c r="H61" s="65">
        <v>0</v>
      </c>
      <c r="I61" s="181"/>
      <c r="J61" s="73" t="s">
        <v>62</v>
      </c>
      <c r="K61" s="84" t="s">
        <v>70</v>
      </c>
      <c r="L61" s="218"/>
      <c r="M61" s="78">
        <v>-0.37806568533891394</v>
      </c>
      <c r="N61" s="81" t="s">
        <v>68</v>
      </c>
      <c r="O61" s="73" t="s">
        <v>62</v>
      </c>
      <c r="Q61" s="219"/>
      <c r="R61" s="220"/>
    </row>
    <row r="62" spans="1:18" ht="18" customHeight="1" x14ac:dyDescent="0.3">
      <c r="A62" s="12"/>
      <c r="B62" s="60">
        <v>0</v>
      </c>
      <c r="C62" s="70" t="s">
        <v>58</v>
      </c>
      <c r="D62" s="182"/>
      <c r="E62" s="183"/>
      <c r="F62" s="70" t="s">
        <v>58</v>
      </c>
      <c r="G62" s="12"/>
      <c r="H62" s="60">
        <v>0</v>
      </c>
      <c r="I62" s="70" t="s">
        <v>58</v>
      </c>
      <c r="J62" s="72" t="s">
        <v>62</v>
      </c>
      <c r="L62" s="218"/>
      <c r="M62" s="76">
        <v>-0.37806568533891394</v>
      </c>
      <c r="N62" s="75" t="s">
        <v>68</v>
      </c>
      <c r="O62" s="72" t="s">
        <v>62</v>
      </c>
      <c r="P62" s="70" t="s">
        <v>58</v>
      </c>
      <c r="Q62" s="221"/>
      <c r="R62" s="222"/>
    </row>
    <row r="63" spans="1:18" ht="18" customHeight="1" x14ac:dyDescent="0.3">
      <c r="A63" s="12"/>
      <c r="B63" s="60">
        <v>1</v>
      </c>
      <c r="D63" s="184"/>
      <c r="E63" s="185"/>
      <c r="G63" s="12"/>
      <c r="H63" s="60">
        <v>0</v>
      </c>
      <c r="J63" s="72" t="s">
        <v>62</v>
      </c>
      <c r="L63" s="218"/>
      <c r="M63" s="76">
        <v>-0.37806568533891394</v>
      </c>
      <c r="N63" s="75" t="s">
        <v>68</v>
      </c>
      <c r="O63" s="72" t="s">
        <v>62</v>
      </c>
      <c r="Q63" s="221"/>
      <c r="R63" s="222"/>
    </row>
    <row r="64" spans="1:18" ht="18" customHeight="1" x14ac:dyDescent="0.3">
      <c r="A64" s="12"/>
      <c r="B64" s="60">
        <v>0</v>
      </c>
      <c r="G64" s="12"/>
      <c r="H64" s="60">
        <v>0</v>
      </c>
      <c r="J64" s="72" t="s">
        <v>62</v>
      </c>
      <c r="L64" s="187"/>
      <c r="M64" s="76">
        <v>-0.37806568533891394</v>
      </c>
      <c r="N64" s="75" t="s">
        <v>68</v>
      </c>
      <c r="O64" s="72" t="s">
        <v>62</v>
      </c>
      <c r="Q64" s="184"/>
      <c r="R64" s="185"/>
    </row>
    <row r="65" spans="1:18" ht="18" customHeight="1" x14ac:dyDescent="0.3">
      <c r="A65" s="12"/>
      <c r="B65" s="60">
        <v>0</v>
      </c>
    </row>
    <row r="66" spans="1:18" ht="18" customHeight="1" x14ac:dyDescent="0.3">
      <c r="A66" s="12"/>
      <c r="B66" s="60">
        <v>0</v>
      </c>
    </row>
    <row r="67" spans="1:18" ht="14.4" customHeight="1" x14ac:dyDescent="0.3"/>
    <row r="68" spans="1:18" ht="14.4" customHeight="1" x14ac:dyDescent="0.3"/>
    <row r="69" spans="1:18" ht="14.4" customHeight="1" x14ac:dyDescent="0.3"/>
    <row r="70" spans="1:18" ht="18" customHeight="1" x14ac:dyDescent="0.3">
      <c r="A70" s="174" t="s">
        <v>71</v>
      </c>
      <c r="B70" s="174"/>
      <c r="C70" s="174"/>
      <c r="D70" s="174"/>
      <c r="E70" s="174"/>
      <c r="F70" s="174"/>
      <c r="G70" s="174"/>
      <c r="H70" s="174"/>
      <c r="I70" s="174"/>
      <c r="J70" s="174"/>
      <c r="K70" s="174"/>
    </row>
    <row r="71" spans="1:18" ht="14.4" customHeight="1" x14ac:dyDescent="0.3"/>
    <row r="72" spans="1:18" ht="18" customHeight="1" x14ac:dyDescent="0.3">
      <c r="B72" s="205" t="s">
        <v>72</v>
      </c>
      <c r="C72" s="206"/>
    </row>
    <row r="73" spans="1:18" ht="18" customHeight="1" x14ac:dyDescent="0.3">
      <c r="B73" s="207"/>
      <c r="C73" s="208"/>
      <c r="E73" s="55"/>
      <c r="F73" s="56">
        <v>1</v>
      </c>
    </row>
    <row r="74" spans="1:18" ht="18" customHeight="1" x14ac:dyDescent="0.3">
      <c r="B74" s="209"/>
      <c r="C74" s="210"/>
      <c r="E74" s="55"/>
      <c r="F74" s="56">
        <f>Q3-1</f>
        <v>4</v>
      </c>
    </row>
    <row r="75" spans="1:18" ht="18" customHeight="1" x14ac:dyDescent="0.3">
      <c r="A75" s="41" t="b">
        <v>1</v>
      </c>
      <c r="B75" s="211" t="str">
        <f>IF(AND(F73&lt;F74), "Go back to Step 2", "Go to Step 4")</f>
        <v>Go back to Step 2</v>
      </c>
      <c r="C75" s="212"/>
    </row>
    <row r="76" spans="1:18" ht="14.4" customHeight="1" x14ac:dyDescent="0.3"/>
    <row r="77" spans="1:18" ht="14.4" customHeight="1" x14ac:dyDescent="0.3"/>
    <row r="78" spans="1:18" ht="14.4" customHeight="1" x14ac:dyDescent="0.3"/>
    <row r="79" spans="1:18" ht="18" customHeight="1" x14ac:dyDescent="0.3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</row>
    <row r="80" spans="1:18" ht="14.4" customHeight="1" x14ac:dyDescent="0.3"/>
    <row r="81" spans="1:11" ht="14.4" customHeight="1" x14ac:dyDescent="0.3"/>
    <row r="82" spans="1:11" ht="14.4" customHeight="1" x14ac:dyDescent="0.3"/>
    <row r="83" spans="1:11" ht="18" customHeight="1" x14ac:dyDescent="0.3">
      <c r="A83" s="174" t="s">
        <v>59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74"/>
    </row>
    <row r="85" spans="1:11" ht="18" customHeight="1" x14ac:dyDescent="0.3">
      <c r="A85" s="197"/>
      <c r="B85" s="198"/>
      <c r="C85" s="198"/>
      <c r="D85" s="198"/>
      <c r="E85" s="198"/>
      <c r="F85" s="198"/>
      <c r="G85" s="198"/>
      <c r="H85" s="199"/>
      <c r="J85" s="55"/>
      <c r="K85" s="56">
        <f>Q3-1</f>
        <v>4</v>
      </c>
    </row>
    <row r="86" spans="1:11" ht="18" customHeight="1" x14ac:dyDescent="0.3">
      <c r="A86" s="200"/>
      <c r="B86" s="201"/>
      <c r="C86" s="201"/>
      <c r="D86" s="201"/>
      <c r="E86" s="201"/>
      <c r="F86" s="201"/>
      <c r="G86" s="201"/>
      <c r="H86" s="202"/>
      <c r="J86" s="55"/>
      <c r="K86" s="56">
        <v>2</v>
      </c>
    </row>
    <row r="87" spans="1:11" ht="18" customHeight="1" x14ac:dyDescent="0.3"/>
    <row r="88" spans="1:11" ht="18" customHeight="1" x14ac:dyDescent="0.3"/>
    <row r="89" spans="1:11" ht="18" customHeight="1" x14ac:dyDescent="0.3">
      <c r="A89" s="131" t="s">
        <v>51</v>
      </c>
      <c r="B89" s="131"/>
      <c r="C89" s="131"/>
      <c r="D89" s="131"/>
      <c r="E89" s="131"/>
      <c r="F89" s="131"/>
      <c r="G89" s="131"/>
    </row>
    <row r="90" spans="1:11" ht="18" customHeight="1" x14ac:dyDescent="0.3">
      <c r="A90" s="10"/>
      <c r="B90" s="82"/>
      <c r="C90" s="82"/>
      <c r="D90" s="82"/>
      <c r="E90" s="82"/>
      <c r="F90" s="82"/>
      <c r="G90" s="12" t="s">
        <v>8</v>
      </c>
    </row>
    <row r="91" spans="1:11" ht="18" customHeight="1" x14ac:dyDescent="0.3">
      <c r="A91" s="12"/>
      <c r="B91" s="63">
        <v>4</v>
      </c>
      <c r="C91" s="63">
        <v>0</v>
      </c>
      <c r="D91" s="63">
        <v>7</v>
      </c>
      <c r="E91" s="62">
        <v>2</v>
      </c>
      <c r="F91" s="63">
        <v>0</v>
      </c>
      <c r="G91" s="106" t="s">
        <v>80</v>
      </c>
    </row>
    <row r="92" spans="1:11" ht="18" customHeight="1" x14ac:dyDescent="0.3">
      <c r="A92" s="64"/>
      <c r="B92" s="16">
        <v>3</v>
      </c>
      <c r="C92" s="16">
        <v>6</v>
      </c>
      <c r="D92" s="16">
        <v>13</v>
      </c>
      <c r="E92" s="16">
        <v>4</v>
      </c>
      <c r="F92" s="16">
        <v>9</v>
      </c>
    </row>
    <row r="93" spans="1:11" ht="18" customHeight="1" x14ac:dyDescent="0.3">
      <c r="D93" s="69" t="s">
        <v>52</v>
      </c>
    </row>
    <row r="94" spans="1:11" ht="18" customHeight="1" x14ac:dyDescent="0.3"/>
    <row r="95" spans="1:11" ht="18" customHeight="1" x14ac:dyDescent="0.3">
      <c r="A95" s="148" t="s">
        <v>61</v>
      </c>
      <c r="B95" s="149"/>
      <c r="C95" s="149"/>
      <c r="D95" s="149"/>
      <c r="E95" s="150"/>
      <c r="J95" s="215" t="s">
        <v>64</v>
      </c>
    </row>
    <row r="96" spans="1:11" ht="18" customHeight="1" x14ac:dyDescent="0.3">
      <c r="A96" s="10"/>
      <c r="B96" s="11"/>
      <c r="J96" s="215"/>
    </row>
    <row r="97" spans="1:18" ht="18" customHeight="1" x14ac:dyDescent="0.3">
      <c r="A97" s="12"/>
      <c r="B97" s="60">
        <v>7</v>
      </c>
      <c r="J97" s="215"/>
      <c r="M97" s="196" t="s">
        <v>63</v>
      </c>
      <c r="N97" s="196"/>
      <c r="O97" s="196"/>
    </row>
    <row r="98" spans="1:18" ht="18" customHeight="1" x14ac:dyDescent="0.3">
      <c r="A98" s="12"/>
      <c r="B98" s="60">
        <v>7</v>
      </c>
      <c r="D98" s="188"/>
      <c r="E98" s="189"/>
      <c r="G98" s="10"/>
      <c r="H98" s="11"/>
      <c r="J98" s="11" t="s">
        <v>65</v>
      </c>
      <c r="M98" s="94"/>
      <c r="N98" s="11" t="s">
        <v>66</v>
      </c>
      <c r="O98" s="11" t="s">
        <v>69</v>
      </c>
    </row>
    <row r="99" spans="1:18" ht="18" customHeight="1" x14ac:dyDescent="0.3">
      <c r="A99" s="12"/>
      <c r="B99" s="60">
        <v>3</v>
      </c>
      <c r="C99" s="71" t="s">
        <v>58</v>
      </c>
      <c r="D99" s="203"/>
      <c r="E99" s="204"/>
      <c r="F99" s="71" t="s">
        <v>58</v>
      </c>
      <c r="G99" s="12"/>
      <c r="H99" s="60">
        <v>7</v>
      </c>
      <c r="I99" s="71" t="s">
        <v>58</v>
      </c>
      <c r="J99" s="72" t="s">
        <v>62</v>
      </c>
      <c r="L99" s="216"/>
      <c r="M99" s="76">
        <v>0.54607491198125124</v>
      </c>
      <c r="N99" s="75" t="s">
        <v>67</v>
      </c>
      <c r="O99" s="72" t="s">
        <v>62</v>
      </c>
      <c r="P99" s="71" t="s">
        <v>58</v>
      </c>
      <c r="Q99" s="188"/>
      <c r="R99" s="189"/>
    </row>
    <row r="100" spans="1:18" ht="18" customHeight="1" thickBot="1" x14ac:dyDescent="0.35">
      <c r="A100" s="29"/>
      <c r="B100" s="67">
        <v>7</v>
      </c>
      <c r="C100" s="85"/>
      <c r="D100" s="86"/>
      <c r="E100" s="86"/>
      <c r="F100" s="87"/>
      <c r="G100" s="29"/>
      <c r="H100" s="67">
        <v>7</v>
      </c>
      <c r="I100" s="180"/>
      <c r="J100" s="74" t="s">
        <v>62</v>
      </c>
      <c r="K100" s="83" t="s">
        <v>70</v>
      </c>
      <c r="L100" s="217"/>
      <c r="M100" s="77">
        <v>0.54607491198125124</v>
      </c>
      <c r="N100" s="80" t="s">
        <v>67</v>
      </c>
      <c r="O100" s="74" t="s">
        <v>62</v>
      </c>
      <c r="P100" s="79"/>
      <c r="Q100" s="190"/>
      <c r="R100" s="191"/>
    </row>
    <row r="101" spans="1:18" ht="18" customHeight="1" x14ac:dyDescent="0.3">
      <c r="A101" s="22"/>
      <c r="B101" s="65">
        <v>3</v>
      </c>
      <c r="G101" s="22"/>
      <c r="H101" s="65">
        <v>3</v>
      </c>
      <c r="I101" s="181"/>
      <c r="J101" s="88" t="s">
        <v>73</v>
      </c>
      <c r="K101" s="84" t="s">
        <v>70</v>
      </c>
      <c r="L101" s="218"/>
      <c r="M101" s="78">
        <v>-0.67699741026567173</v>
      </c>
      <c r="N101" s="81" t="s">
        <v>68</v>
      </c>
      <c r="O101" s="73" t="s">
        <v>62</v>
      </c>
      <c r="Q101" s="219"/>
      <c r="R101" s="220"/>
    </row>
    <row r="102" spans="1:18" ht="18" customHeight="1" x14ac:dyDescent="0.3">
      <c r="A102" s="12"/>
      <c r="B102" s="60">
        <v>7</v>
      </c>
      <c r="C102" s="71" t="s">
        <v>58</v>
      </c>
      <c r="D102" s="182"/>
      <c r="E102" s="183"/>
      <c r="F102" s="71" t="s">
        <v>58</v>
      </c>
      <c r="G102" s="12"/>
      <c r="H102" s="60">
        <v>7</v>
      </c>
      <c r="I102" s="71" t="s">
        <v>58</v>
      </c>
      <c r="J102" s="72" t="s">
        <v>62</v>
      </c>
      <c r="L102" s="218"/>
      <c r="M102" s="76">
        <v>-0.67699741026567195</v>
      </c>
      <c r="N102" s="75" t="s">
        <v>68</v>
      </c>
      <c r="O102" s="72" t="s">
        <v>62</v>
      </c>
      <c r="P102" s="71" t="s">
        <v>58</v>
      </c>
      <c r="Q102" s="221"/>
      <c r="R102" s="222"/>
    </row>
    <row r="103" spans="1:18" ht="18" customHeight="1" x14ac:dyDescent="0.3">
      <c r="A103" s="12"/>
      <c r="B103" s="60">
        <v>6</v>
      </c>
      <c r="D103" s="184"/>
      <c r="E103" s="185"/>
      <c r="G103" s="12"/>
      <c r="H103" s="60">
        <v>7</v>
      </c>
      <c r="J103" s="72" t="s">
        <v>62</v>
      </c>
      <c r="L103" s="218"/>
      <c r="M103" s="76">
        <v>-0.67699741026567162</v>
      </c>
      <c r="N103" s="75" t="s">
        <v>68</v>
      </c>
      <c r="O103" s="72" t="s">
        <v>62</v>
      </c>
      <c r="Q103" s="221"/>
      <c r="R103" s="222"/>
    </row>
    <row r="104" spans="1:18" ht="18" customHeight="1" x14ac:dyDescent="0.3">
      <c r="A104" s="12"/>
      <c r="B104" s="60">
        <v>7</v>
      </c>
      <c r="G104" s="12"/>
      <c r="H104" s="60">
        <v>7</v>
      </c>
      <c r="J104" s="72" t="s">
        <v>62</v>
      </c>
      <c r="L104" s="187"/>
      <c r="M104" s="76">
        <v>-0.67699741026567162</v>
      </c>
      <c r="N104" s="75" t="s">
        <v>68</v>
      </c>
      <c r="O104" s="72" t="s">
        <v>62</v>
      </c>
      <c r="Q104" s="184"/>
      <c r="R104" s="185"/>
    </row>
    <row r="105" spans="1:18" ht="18" customHeight="1" x14ac:dyDescent="0.3">
      <c r="A105" s="12"/>
      <c r="B105" s="60">
        <v>7</v>
      </c>
    </row>
    <row r="106" spans="1:18" ht="18" customHeight="1" x14ac:dyDescent="0.3">
      <c r="A106" s="12"/>
      <c r="B106" s="60">
        <v>7</v>
      </c>
    </row>
    <row r="110" spans="1:18" ht="18" x14ac:dyDescent="0.3">
      <c r="A110" s="174" t="s">
        <v>71</v>
      </c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</row>
    <row r="112" spans="1:18" ht="18" customHeight="1" x14ac:dyDescent="0.3">
      <c r="B112" s="205" t="s">
        <v>72</v>
      </c>
      <c r="C112" s="206"/>
    </row>
    <row r="113" spans="1:18" ht="18" customHeight="1" x14ac:dyDescent="0.3">
      <c r="B113" s="207"/>
      <c r="C113" s="208"/>
      <c r="E113" s="55"/>
      <c r="F113" s="56">
        <v>2</v>
      </c>
    </row>
    <row r="114" spans="1:18" ht="18" customHeight="1" x14ac:dyDescent="0.3">
      <c r="B114" s="209"/>
      <c r="C114" s="210"/>
      <c r="E114" s="55"/>
      <c r="F114" s="56">
        <f>Q3-1</f>
        <v>4</v>
      </c>
    </row>
    <row r="115" spans="1:18" ht="18" customHeight="1" x14ac:dyDescent="0.3">
      <c r="A115" s="41" t="b">
        <v>1</v>
      </c>
      <c r="B115" s="211" t="str">
        <f>IF(AND(F113&lt;F114), "Go back to Step 2", "Go to Step 4")</f>
        <v>Go back to Step 2</v>
      </c>
      <c r="C115" s="212"/>
    </row>
    <row r="119" spans="1:18" x14ac:dyDescent="0.3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</row>
    <row r="123" spans="1:18" ht="18" customHeight="1" x14ac:dyDescent="0.3">
      <c r="A123" s="174" t="s">
        <v>59</v>
      </c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</row>
    <row r="124" spans="1:18" ht="14.4" customHeight="1" x14ac:dyDescent="0.3"/>
    <row r="125" spans="1:18" ht="18" customHeight="1" x14ac:dyDescent="0.3">
      <c r="A125" s="197"/>
      <c r="B125" s="198"/>
      <c r="C125" s="198"/>
      <c r="D125" s="198"/>
      <c r="E125" s="198"/>
      <c r="F125" s="198"/>
      <c r="G125" s="198"/>
      <c r="H125" s="199"/>
      <c r="J125" s="55"/>
      <c r="K125" s="56">
        <f>Q3-1</f>
        <v>4</v>
      </c>
    </row>
    <row r="126" spans="1:18" ht="18" customHeight="1" x14ac:dyDescent="0.3">
      <c r="A126" s="200"/>
      <c r="B126" s="201"/>
      <c r="C126" s="201"/>
      <c r="D126" s="201"/>
      <c r="E126" s="201"/>
      <c r="F126" s="201"/>
      <c r="G126" s="201"/>
      <c r="H126" s="202"/>
      <c r="J126" s="55"/>
      <c r="K126" s="56">
        <v>3</v>
      </c>
    </row>
    <row r="127" spans="1:18" ht="14.4" customHeight="1" x14ac:dyDescent="0.3"/>
    <row r="128" spans="1:18" ht="14.4" customHeight="1" x14ac:dyDescent="0.3"/>
    <row r="129" spans="1:18" ht="18" customHeight="1" x14ac:dyDescent="0.3">
      <c r="A129" s="131" t="s">
        <v>51</v>
      </c>
      <c r="B129" s="131"/>
      <c r="C129" s="131"/>
      <c r="D129" s="131"/>
      <c r="E129" s="131"/>
      <c r="F129" s="131"/>
      <c r="G129" s="131"/>
    </row>
    <row r="130" spans="1:18" ht="18" customHeight="1" x14ac:dyDescent="0.3">
      <c r="A130" s="10"/>
      <c r="B130" s="89"/>
      <c r="C130" s="89"/>
      <c r="D130" s="89"/>
      <c r="E130" s="89"/>
      <c r="F130" s="89"/>
      <c r="G130" s="12" t="s">
        <v>8</v>
      </c>
    </row>
    <row r="131" spans="1:18" ht="18" customHeight="1" x14ac:dyDescent="0.3">
      <c r="A131" s="12"/>
      <c r="B131" s="63">
        <v>4</v>
      </c>
      <c r="C131" s="63">
        <v>0</v>
      </c>
      <c r="D131" s="63">
        <v>7</v>
      </c>
      <c r="E131" s="62">
        <v>2</v>
      </c>
      <c r="F131" s="63">
        <v>0</v>
      </c>
      <c r="G131" s="106" t="s">
        <v>80</v>
      </c>
    </row>
    <row r="132" spans="1:18" ht="18" customHeight="1" x14ac:dyDescent="0.3">
      <c r="A132" s="64"/>
      <c r="B132" s="16">
        <v>3</v>
      </c>
      <c r="C132" s="16">
        <v>6</v>
      </c>
      <c r="D132" s="16">
        <v>13</v>
      </c>
      <c r="E132" s="16">
        <v>4</v>
      </c>
      <c r="F132" s="16">
        <v>9</v>
      </c>
    </row>
    <row r="133" spans="1:18" ht="18" customHeight="1" x14ac:dyDescent="0.3">
      <c r="E133" s="69" t="s">
        <v>52</v>
      </c>
    </row>
    <row r="134" spans="1:18" ht="18" customHeight="1" x14ac:dyDescent="0.3"/>
    <row r="135" spans="1:18" ht="18" customHeight="1" x14ac:dyDescent="0.3">
      <c r="A135" s="148" t="s">
        <v>61</v>
      </c>
      <c r="B135" s="149"/>
      <c r="C135" s="149"/>
      <c r="D135" s="149"/>
      <c r="E135" s="150"/>
      <c r="J135" s="215" t="s">
        <v>64</v>
      </c>
    </row>
    <row r="136" spans="1:18" ht="18" customHeight="1" x14ac:dyDescent="0.3">
      <c r="A136" s="10"/>
      <c r="B136" s="11"/>
      <c r="J136" s="215"/>
    </row>
    <row r="137" spans="1:18" ht="18" customHeight="1" x14ac:dyDescent="0.3">
      <c r="A137" s="12"/>
      <c r="B137" s="62">
        <v>1</v>
      </c>
      <c r="J137" s="215"/>
      <c r="M137" s="196" t="s">
        <v>63</v>
      </c>
      <c r="N137" s="196"/>
      <c r="O137" s="196"/>
    </row>
    <row r="138" spans="1:18" ht="18" customHeight="1" x14ac:dyDescent="0.3">
      <c r="A138" s="12"/>
      <c r="B138" s="62">
        <v>2</v>
      </c>
      <c r="D138" s="188"/>
      <c r="E138" s="189"/>
      <c r="G138" s="10"/>
      <c r="H138" s="11"/>
      <c r="J138" s="11" t="s">
        <v>65</v>
      </c>
      <c r="M138" s="94"/>
      <c r="N138" s="11" t="s">
        <v>66</v>
      </c>
      <c r="O138" s="11" t="s">
        <v>69</v>
      </c>
    </row>
    <row r="139" spans="1:18" ht="18" customHeight="1" thickBot="1" x14ac:dyDescent="0.35">
      <c r="A139" s="12"/>
      <c r="B139" s="62">
        <v>1</v>
      </c>
      <c r="C139" s="90" t="s">
        <v>58</v>
      </c>
      <c r="D139" s="203"/>
      <c r="E139" s="204"/>
      <c r="F139" s="90" t="s">
        <v>58</v>
      </c>
      <c r="G139" s="12"/>
      <c r="H139" s="62">
        <v>2</v>
      </c>
      <c r="I139" s="90" t="s">
        <v>58</v>
      </c>
      <c r="J139" s="74" t="s">
        <v>62</v>
      </c>
      <c r="L139" s="216"/>
      <c r="M139" s="76">
        <v>0.55066153579842136</v>
      </c>
      <c r="N139" s="75" t="s">
        <v>67</v>
      </c>
      <c r="O139" s="72" t="s">
        <v>62</v>
      </c>
      <c r="P139" s="90" t="s">
        <v>58</v>
      </c>
      <c r="Q139" s="188"/>
      <c r="R139" s="189"/>
    </row>
    <row r="140" spans="1:18" ht="18" customHeight="1" thickBot="1" x14ac:dyDescent="0.35">
      <c r="A140" s="29"/>
      <c r="B140" s="93">
        <v>1</v>
      </c>
      <c r="C140" s="85"/>
      <c r="D140" s="86"/>
      <c r="E140" s="86"/>
      <c r="F140" s="87"/>
      <c r="G140" s="29"/>
      <c r="H140" s="93">
        <v>1</v>
      </c>
      <c r="I140" s="230"/>
      <c r="J140" s="110" t="s">
        <v>73</v>
      </c>
      <c r="K140" s="83" t="s">
        <v>70</v>
      </c>
      <c r="L140" s="217"/>
      <c r="M140" s="77">
        <v>0.96858288142615678</v>
      </c>
      <c r="N140" s="80" t="s">
        <v>67</v>
      </c>
      <c r="O140" s="74" t="s">
        <v>62</v>
      </c>
      <c r="P140" s="79"/>
      <c r="Q140" s="190"/>
      <c r="R140" s="191"/>
    </row>
    <row r="141" spans="1:18" ht="18" customHeight="1" x14ac:dyDescent="0.3">
      <c r="A141" s="22"/>
      <c r="B141" s="92">
        <v>2</v>
      </c>
      <c r="G141" s="12"/>
      <c r="H141" s="92">
        <v>1</v>
      </c>
      <c r="I141" s="230"/>
      <c r="J141" s="88" t="s">
        <v>73</v>
      </c>
      <c r="K141" s="84" t="s">
        <v>70</v>
      </c>
      <c r="L141" s="187"/>
      <c r="M141" s="78">
        <v>-0.81342787967727681</v>
      </c>
      <c r="N141" s="81" t="s">
        <v>68</v>
      </c>
      <c r="O141" s="73" t="s">
        <v>62</v>
      </c>
      <c r="Q141" s="232"/>
      <c r="R141" s="232"/>
    </row>
    <row r="142" spans="1:18" ht="18" customHeight="1" x14ac:dyDescent="0.3">
      <c r="A142" s="12"/>
      <c r="B142" s="62">
        <v>2</v>
      </c>
      <c r="C142" s="90" t="s">
        <v>58</v>
      </c>
      <c r="D142" s="182"/>
      <c r="E142" s="183"/>
      <c r="F142" s="90" t="s">
        <v>58</v>
      </c>
      <c r="G142" s="12"/>
      <c r="H142" s="62">
        <v>2</v>
      </c>
      <c r="I142" s="90" t="s">
        <v>58</v>
      </c>
      <c r="J142" s="72" t="s">
        <v>62</v>
      </c>
      <c r="L142" s="231"/>
      <c r="M142" s="76">
        <v>-1.3589807460522612</v>
      </c>
      <c r="N142" s="75" t="s">
        <v>68</v>
      </c>
      <c r="O142" s="72" t="s">
        <v>62</v>
      </c>
      <c r="P142" s="90" t="s">
        <v>58</v>
      </c>
      <c r="Q142" s="233"/>
      <c r="R142" s="233"/>
    </row>
    <row r="143" spans="1:18" ht="18" customHeight="1" x14ac:dyDescent="0.3">
      <c r="A143" s="12"/>
      <c r="B143" s="62">
        <v>2</v>
      </c>
      <c r="D143" s="184"/>
      <c r="E143" s="185"/>
      <c r="G143" s="12"/>
      <c r="H143" s="62">
        <v>2</v>
      </c>
      <c r="J143" s="72" t="s">
        <v>62</v>
      </c>
      <c r="L143" s="231"/>
      <c r="M143" s="76">
        <v>-1.3589807460522612</v>
      </c>
      <c r="N143" s="75" t="s">
        <v>68</v>
      </c>
      <c r="O143" s="72" t="s">
        <v>62</v>
      </c>
      <c r="Q143" s="233"/>
      <c r="R143" s="233"/>
    </row>
    <row r="144" spans="1:18" ht="18" customHeight="1" x14ac:dyDescent="0.3">
      <c r="A144" s="12"/>
      <c r="B144" s="62">
        <v>1</v>
      </c>
    </row>
    <row r="145" spans="1:18" ht="18" customHeight="1" x14ac:dyDescent="0.3">
      <c r="A145" s="12"/>
      <c r="B145" s="62">
        <v>2</v>
      </c>
    </row>
    <row r="146" spans="1:18" ht="18" customHeight="1" x14ac:dyDescent="0.3">
      <c r="A146" s="12"/>
      <c r="B146" s="62">
        <v>2</v>
      </c>
    </row>
    <row r="150" spans="1:18" ht="18" customHeight="1" x14ac:dyDescent="0.3">
      <c r="A150" s="174" t="s">
        <v>71</v>
      </c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</row>
    <row r="152" spans="1:18" ht="18" customHeight="1" x14ac:dyDescent="0.3">
      <c r="B152" s="205" t="s">
        <v>72</v>
      </c>
      <c r="C152" s="206"/>
    </row>
    <row r="153" spans="1:18" ht="18" customHeight="1" x14ac:dyDescent="0.3">
      <c r="B153" s="207"/>
      <c r="C153" s="208"/>
      <c r="E153" s="55"/>
      <c r="F153" s="56">
        <v>3</v>
      </c>
    </row>
    <row r="154" spans="1:18" ht="18" customHeight="1" x14ac:dyDescent="0.3">
      <c r="B154" s="209"/>
      <c r="C154" s="210"/>
      <c r="E154" s="55"/>
      <c r="F154" s="56">
        <f>Q3-1</f>
        <v>4</v>
      </c>
    </row>
    <row r="155" spans="1:18" ht="18" customHeight="1" x14ac:dyDescent="0.3">
      <c r="A155" s="41" t="b">
        <v>1</v>
      </c>
      <c r="B155" s="211" t="str">
        <f>IF(AND(F153&lt;F154), "Go back to Step 2", "Go to Step 4")</f>
        <v>Go back to Step 2</v>
      </c>
      <c r="C155" s="212"/>
    </row>
    <row r="159" spans="1:18" x14ac:dyDescent="0.3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</row>
    <row r="163" spans="1:11" ht="18" customHeight="1" x14ac:dyDescent="0.3">
      <c r="A163" s="174" t="s">
        <v>59</v>
      </c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</row>
    <row r="165" spans="1:11" ht="18" customHeight="1" x14ac:dyDescent="0.3">
      <c r="A165" s="197"/>
      <c r="B165" s="198"/>
      <c r="C165" s="198"/>
      <c r="D165" s="198"/>
      <c r="E165" s="198"/>
      <c r="F165" s="198"/>
      <c r="G165" s="198"/>
      <c r="H165" s="199"/>
      <c r="J165" s="55"/>
      <c r="K165" s="56">
        <f>Q3-1</f>
        <v>4</v>
      </c>
    </row>
    <row r="166" spans="1:11" ht="18" customHeight="1" x14ac:dyDescent="0.3">
      <c r="A166" s="200"/>
      <c r="B166" s="201"/>
      <c r="C166" s="201"/>
      <c r="D166" s="201"/>
      <c r="E166" s="201"/>
      <c r="F166" s="201"/>
      <c r="G166" s="201"/>
      <c r="H166" s="202"/>
      <c r="J166" s="55"/>
      <c r="K166" s="56">
        <v>4</v>
      </c>
    </row>
    <row r="169" spans="1:11" ht="18" customHeight="1" x14ac:dyDescent="0.3">
      <c r="A169" s="131" t="s">
        <v>51</v>
      </c>
      <c r="B169" s="131"/>
      <c r="C169" s="131"/>
      <c r="D169" s="131"/>
      <c r="E169" s="131"/>
      <c r="F169" s="131"/>
      <c r="G169" s="131"/>
    </row>
    <row r="170" spans="1:11" ht="18" customHeight="1" x14ac:dyDescent="0.3">
      <c r="A170" s="10"/>
      <c r="B170" s="94"/>
      <c r="C170" s="94"/>
      <c r="D170" s="94"/>
      <c r="E170" s="94"/>
      <c r="F170" s="94"/>
      <c r="G170" s="12" t="s">
        <v>8</v>
      </c>
    </row>
    <row r="171" spans="1:11" ht="18" customHeight="1" x14ac:dyDescent="0.3">
      <c r="A171" s="12"/>
      <c r="B171" s="63">
        <v>4</v>
      </c>
      <c r="C171" s="63">
        <v>0</v>
      </c>
      <c r="D171" s="63">
        <v>7</v>
      </c>
      <c r="E171" s="62">
        <v>2</v>
      </c>
      <c r="F171" s="63">
        <v>0</v>
      </c>
      <c r="G171" s="106" t="s">
        <v>80</v>
      </c>
    </row>
    <row r="172" spans="1:11" ht="18" customHeight="1" x14ac:dyDescent="0.3">
      <c r="A172" s="64"/>
      <c r="B172" s="16">
        <v>3</v>
      </c>
      <c r="C172" s="16">
        <v>6</v>
      </c>
      <c r="D172" s="16">
        <v>13</v>
      </c>
      <c r="E172" s="16">
        <v>4</v>
      </c>
      <c r="F172" s="16">
        <v>9</v>
      </c>
    </row>
    <row r="173" spans="1:11" ht="18" customHeight="1" x14ac:dyDescent="0.3">
      <c r="F173" s="69" t="s">
        <v>52</v>
      </c>
    </row>
    <row r="174" spans="1:11" ht="18" customHeight="1" x14ac:dyDescent="0.3"/>
    <row r="175" spans="1:11" ht="18" customHeight="1" x14ac:dyDescent="0.3">
      <c r="A175" s="148" t="s">
        <v>61</v>
      </c>
      <c r="B175" s="149"/>
      <c r="C175" s="149"/>
      <c r="D175" s="149"/>
      <c r="E175" s="150"/>
    </row>
    <row r="176" spans="1:11" ht="18" customHeight="1" x14ac:dyDescent="0.3">
      <c r="A176" s="10"/>
      <c r="B176" s="11"/>
      <c r="J176" s="193" t="s">
        <v>64</v>
      </c>
    </row>
    <row r="177" spans="1:18" ht="18" customHeight="1" x14ac:dyDescent="0.3">
      <c r="A177" s="12"/>
      <c r="B177" s="60">
        <v>0</v>
      </c>
      <c r="J177" s="194"/>
    </row>
    <row r="178" spans="1:18" ht="18" customHeight="1" x14ac:dyDescent="0.3">
      <c r="A178" s="12"/>
      <c r="B178" s="60">
        <v>1</v>
      </c>
      <c r="D178" s="188"/>
      <c r="E178" s="189"/>
      <c r="J178" s="195"/>
      <c r="M178" s="196" t="s">
        <v>63</v>
      </c>
      <c r="N178" s="196"/>
      <c r="O178" s="196"/>
    </row>
    <row r="179" spans="1:18" ht="18" customHeight="1" thickBot="1" x14ac:dyDescent="0.35">
      <c r="A179" s="12"/>
      <c r="B179" s="60">
        <v>1</v>
      </c>
      <c r="C179" s="95" t="s">
        <v>58</v>
      </c>
      <c r="D179" s="203"/>
      <c r="E179" s="204"/>
      <c r="G179" s="10"/>
      <c r="H179" s="11"/>
      <c r="I179" s="95" t="s">
        <v>58</v>
      </c>
      <c r="J179" s="11" t="s">
        <v>65</v>
      </c>
      <c r="M179" s="94"/>
      <c r="N179" s="11" t="s">
        <v>66</v>
      </c>
      <c r="O179" s="11" t="s">
        <v>69</v>
      </c>
      <c r="Q179" s="188"/>
      <c r="R179" s="189"/>
    </row>
    <row r="180" spans="1:18" ht="18" customHeight="1" thickBot="1" x14ac:dyDescent="0.35">
      <c r="A180" s="29"/>
      <c r="B180" s="67">
        <v>0</v>
      </c>
      <c r="C180" s="85"/>
      <c r="D180" s="86"/>
      <c r="E180" s="86"/>
      <c r="F180" s="96" t="s">
        <v>58</v>
      </c>
      <c r="G180" s="29"/>
      <c r="H180" s="93">
        <v>1</v>
      </c>
      <c r="I180" s="180"/>
      <c r="J180" s="110" t="s">
        <v>73</v>
      </c>
      <c r="K180" s="83" t="s">
        <v>70</v>
      </c>
      <c r="L180" s="99"/>
      <c r="M180" s="77">
        <v>1.0814390907557363</v>
      </c>
      <c r="N180" s="80" t="s">
        <v>67</v>
      </c>
      <c r="O180" s="74" t="s">
        <v>62</v>
      </c>
      <c r="P180" s="98" t="s">
        <v>58</v>
      </c>
      <c r="Q180" s="190"/>
      <c r="R180" s="191"/>
    </row>
    <row r="181" spans="1:18" ht="18" customHeight="1" x14ac:dyDescent="0.3">
      <c r="A181" s="22"/>
      <c r="B181" s="65">
        <v>0</v>
      </c>
      <c r="F181" s="97" t="s">
        <v>58</v>
      </c>
      <c r="G181" s="12"/>
      <c r="H181" s="62">
        <v>0</v>
      </c>
      <c r="I181" s="181"/>
      <c r="J181" s="72" t="s">
        <v>62</v>
      </c>
      <c r="K181" s="84" t="s">
        <v>70</v>
      </c>
      <c r="L181" s="186"/>
      <c r="M181" s="78">
        <v>-1.9056239248799161</v>
      </c>
      <c r="N181" s="81" t="s">
        <v>68</v>
      </c>
      <c r="O181" s="73" t="s">
        <v>62</v>
      </c>
      <c r="Q181" s="169"/>
      <c r="R181" s="170"/>
    </row>
    <row r="182" spans="1:18" ht="18" customHeight="1" x14ac:dyDescent="0.3">
      <c r="A182" s="12"/>
      <c r="B182" s="60">
        <v>0</v>
      </c>
      <c r="C182" s="95" t="s">
        <v>58</v>
      </c>
      <c r="D182" s="182"/>
      <c r="E182" s="183"/>
      <c r="G182" s="12"/>
      <c r="H182" s="62">
        <v>0</v>
      </c>
      <c r="I182" s="95" t="s">
        <v>58</v>
      </c>
      <c r="J182" s="72" t="s">
        <v>62</v>
      </c>
      <c r="L182" s="187"/>
      <c r="M182" s="76">
        <v>-1.9056239248799161</v>
      </c>
      <c r="N182" s="75" t="s">
        <v>68</v>
      </c>
      <c r="O182" s="72" t="s">
        <v>62</v>
      </c>
      <c r="P182" s="95" t="s">
        <v>58</v>
      </c>
      <c r="Q182" s="171"/>
      <c r="R182" s="172"/>
    </row>
    <row r="183" spans="1:18" ht="18" customHeight="1" x14ac:dyDescent="0.3">
      <c r="A183" s="12"/>
      <c r="B183" s="60">
        <v>1</v>
      </c>
      <c r="D183" s="184"/>
      <c r="E183" s="185"/>
    </row>
    <row r="184" spans="1:18" ht="18" customHeight="1" x14ac:dyDescent="0.3">
      <c r="A184" s="12"/>
      <c r="B184" s="60">
        <v>1</v>
      </c>
    </row>
    <row r="185" spans="1:18" ht="18" customHeight="1" x14ac:dyDescent="0.3">
      <c r="A185" s="12"/>
      <c r="B185" s="60">
        <v>0</v>
      </c>
    </row>
    <row r="186" spans="1:18" ht="18" customHeight="1" x14ac:dyDescent="0.3">
      <c r="A186" s="12"/>
      <c r="B186" s="60">
        <v>0</v>
      </c>
    </row>
    <row r="190" spans="1:18" ht="18" customHeight="1" x14ac:dyDescent="0.3">
      <c r="A190" s="174" t="s">
        <v>71</v>
      </c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</row>
    <row r="191" spans="1:18" ht="14.4" customHeight="1" x14ac:dyDescent="0.3"/>
    <row r="192" spans="1:18" ht="18" customHeight="1" x14ac:dyDescent="0.3">
      <c r="B192" s="205" t="s">
        <v>72</v>
      </c>
      <c r="C192" s="206"/>
    </row>
    <row r="193" spans="1:18" ht="18" customHeight="1" x14ac:dyDescent="0.3">
      <c r="B193" s="207"/>
      <c r="C193" s="208"/>
      <c r="E193" s="55"/>
      <c r="F193" s="56">
        <v>4</v>
      </c>
    </row>
    <row r="194" spans="1:18" ht="18" customHeight="1" x14ac:dyDescent="0.3">
      <c r="B194" s="209"/>
      <c r="C194" s="210"/>
      <c r="E194" s="55"/>
      <c r="F194" s="56">
        <f>Q3-1</f>
        <v>4</v>
      </c>
    </row>
    <row r="195" spans="1:18" ht="18" customHeight="1" x14ac:dyDescent="0.3">
      <c r="A195" s="15" t="b">
        <v>0</v>
      </c>
      <c r="B195" s="211" t="str">
        <f>IF(AND(F193&lt;F194), "Go back to Step 2", "Go to Step 4")</f>
        <v>Go to Step 4</v>
      </c>
      <c r="C195" s="212"/>
    </row>
    <row r="199" spans="1:18" x14ac:dyDescent="0.3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</row>
    <row r="203" spans="1:18" ht="18" customHeight="1" x14ac:dyDescent="0.3">
      <c r="A203" s="174" t="s">
        <v>74</v>
      </c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</row>
    <row r="205" spans="1:18" ht="18" customHeight="1" x14ac:dyDescent="0.3">
      <c r="B205" s="192"/>
      <c r="C205" s="192"/>
    </row>
    <row r="206" spans="1:18" ht="18" customHeight="1" x14ac:dyDescent="0.3">
      <c r="B206" s="192"/>
      <c r="C206" s="192"/>
      <c r="E206" s="213"/>
      <c r="F206" s="213"/>
      <c r="G206" s="213"/>
      <c r="I206" s="104"/>
      <c r="J206" s="105">
        <v>4</v>
      </c>
    </row>
    <row r="207" spans="1:18" ht="18" customHeight="1" x14ac:dyDescent="0.3">
      <c r="B207" s="192"/>
      <c r="C207" s="192"/>
      <c r="E207" s="213"/>
      <c r="F207" s="213"/>
      <c r="G207" s="213"/>
      <c r="I207" s="104"/>
      <c r="J207" s="105">
        <v>6</v>
      </c>
    </row>
    <row r="208" spans="1:18" ht="20.399999999999999" x14ac:dyDescent="0.3">
      <c r="D208" s="100" t="s">
        <v>58</v>
      </c>
      <c r="E208" s="213"/>
      <c r="F208" s="213"/>
      <c r="G208" s="213"/>
    </row>
    <row r="209" spans="2:10" ht="18" customHeight="1" x14ac:dyDescent="0.3">
      <c r="B209" s="192"/>
      <c r="C209" s="192"/>
      <c r="E209" s="213"/>
      <c r="F209" s="213"/>
      <c r="G209" s="213"/>
    </row>
    <row r="210" spans="2:10" ht="18" customHeight="1" x14ac:dyDescent="0.3">
      <c r="B210" s="192"/>
      <c r="C210" s="192"/>
      <c r="E210" s="213"/>
      <c r="F210" s="213"/>
      <c r="G210" s="213"/>
      <c r="I210" s="55"/>
      <c r="J210" s="56">
        <v>4</v>
      </c>
    </row>
    <row r="211" spans="2:10" ht="18" customHeight="1" x14ac:dyDescent="0.3">
      <c r="B211" s="192"/>
      <c r="C211" s="192"/>
      <c r="I211" s="55"/>
      <c r="J211" s="56">
        <f>Q3-1</f>
        <v>4</v>
      </c>
    </row>
    <row r="215" spans="2:10" ht="18" customHeight="1" x14ac:dyDescent="0.3">
      <c r="B215" s="188"/>
      <c r="C215" s="189"/>
      <c r="D215" s="102"/>
    </row>
    <row r="216" spans="2:10" ht="18" customHeight="1" thickBot="1" x14ac:dyDescent="0.35">
      <c r="B216" s="190"/>
      <c r="C216" s="191"/>
      <c r="D216" s="103" t="s">
        <v>58</v>
      </c>
      <c r="E216" s="104"/>
      <c r="F216" s="105">
        <v>0</v>
      </c>
    </row>
    <row r="217" spans="2:10" ht="18" customHeight="1" x14ac:dyDescent="0.3">
      <c r="B217" s="169"/>
      <c r="C217" s="170"/>
      <c r="D217" s="101" t="s">
        <v>58</v>
      </c>
      <c r="E217" s="104"/>
      <c r="F217" s="105">
        <v>2</v>
      </c>
    </row>
    <row r="218" spans="2:10" ht="18" customHeight="1" x14ac:dyDescent="0.3">
      <c r="B218" s="171"/>
      <c r="C218" s="172"/>
    </row>
    <row r="222" spans="2:10" ht="18" customHeight="1" x14ac:dyDescent="0.3">
      <c r="C222" s="176" t="s">
        <v>75</v>
      </c>
      <c r="D222" s="177"/>
    </row>
    <row r="223" spans="2:10" ht="18" customHeight="1" x14ac:dyDescent="0.3">
      <c r="B223" s="179"/>
      <c r="C223" s="178" t="str">
        <f>IF(F216/J206&gt;F217/J207, "Class 1", IF(F216/J206&lt;F217/J207, "Class 2", 0))</f>
        <v>Class 2</v>
      </c>
      <c r="D223" s="178"/>
    </row>
    <row r="224" spans="2:10" ht="18" customHeight="1" x14ac:dyDescent="0.3">
      <c r="B224" s="179"/>
      <c r="C224" s="178"/>
      <c r="D224" s="178"/>
    </row>
    <row r="228" spans="1:18" x14ac:dyDescent="0.3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</row>
    <row r="232" spans="1:18" ht="18" x14ac:dyDescent="0.3">
      <c r="A232" s="174" t="s">
        <v>76</v>
      </c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</row>
    <row r="235" spans="1:18" ht="14.4" customHeight="1" x14ac:dyDescent="0.3">
      <c r="E235" s="175" t="s">
        <v>77</v>
      </c>
      <c r="F235" s="175"/>
      <c r="G235" s="175"/>
    </row>
    <row r="236" spans="1:18" ht="14.4" customHeight="1" x14ac:dyDescent="0.3">
      <c r="E236" s="175"/>
      <c r="F236" s="175"/>
      <c r="G236" s="175"/>
    </row>
  </sheetData>
  <sortState xmlns:xlrd2="http://schemas.microsoft.com/office/spreadsheetml/2017/richdata2" ref="M130:O139">
    <sortCondition ref="O130:O139"/>
  </sortState>
  <mergeCells count="95">
    <mergeCell ref="A163:K163"/>
    <mergeCell ref="A150:K150"/>
    <mergeCell ref="B152:C152"/>
    <mergeCell ref="B153:C154"/>
    <mergeCell ref="B155:C155"/>
    <mergeCell ref="A159:R159"/>
    <mergeCell ref="D138:E139"/>
    <mergeCell ref="L139:L140"/>
    <mergeCell ref="Q139:R140"/>
    <mergeCell ref="I140:I141"/>
    <mergeCell ref="D142:E143"/>
    <mergeCell ref="L141:L143"/>
    <mergeCell ref="Q141:R143"/>
    <mergeCell ref="A123:K123"/>
    <mergeCell ref="A129:G129"/>
    <mergeCell ref="A135:E135"/>
    <mergeCell ref="J135:J137"/>
    <mergeCell ref="M137:O137"/>
    <mergeCell ref="A110:K110"/>
    <mergeCell ref="B112:C112"/>
    <mergeCell ref="B113:C114"/>
    <mergeCell ref="B115:C115"/>
    <mergeCell ref="A119:R119"/>
    <mergeCell ref="M57:O57"/>
    <mergeCell ref="L59:L60"/>
    <mergeCell ref="L61:L64"/>
    <mergeCell ref="D62:E63"/>
    <mergeCell ref="D58:E59"/>
    <mergeCell ref="A55:E55"/>
    <mergeCell ref="A70:K70"/>
    <mergeCell ref="A1:G1"/>
    <mergeCell ref="I1:N1"/>
    <mergeCell ref="D30:I30"/>
    <mergeCell ref="A18:H19"/>
    <mergeCell ref="A16:K16"/>
    <mergeCell ref="A43:K43"/>
    <mergeCell ref="A22:G22"/>
    <mergeCell ref="G32:G33"/>
    <mergeCell ref="G34:G37"/>
    <mergeCell ref="H32:H33"/>
    <mergeCell ref="H34:H37"/>
    <mergeCell ref="I32:J33"/>
    <mergeCell ref="I34:J37"/>
    <mergeCell ref="J55:J57"/>
    <mergeCell ref="L101:L104"/>
    <mergeCell ref="Q101:R104"/>
    <mergeCell ref="B72:C72"/>
    <mergeCell ref="B73:C74"/>
    <mergeCell ref="I60:I61"/>
    <mergeCell ref="B75:C75"/>
    <mergeCell ref="Q59:R60"/>
    <mergeCell ref="Q61:R64"/>
    <mergeCell ref="Q179:R180"/>
    <mergeCell ref="A45:H46"/>
    <mergeCell ref="A85:H86"/>
    <mergeCell ref="A125:H126"/>
    <mergeCell ref="D98:E99"/>
    <mergeCell ref="D102:E103"/>
    <mergeCell ref="A49:G49"/>
    <mergeCell ref="A79:R79"/>
    <mergeCell ref="M97:O97"/>
    <mergeCell ref="A83:K83"/>
    <mergeCell ref="A89:G89"/>
    <mergeCell ref="A95:E95"/>
    <mergeCell ref="J95:J97"/>
    <mergeCell ref="L99:L100"/>
    <mergeCell ref="Q99:R100"/>
    <mergeCell ref="I100:I101"/>
    <mergeCell ref="B192:C192"/>
    <mergeCell ref="B193:C194"/>
    <mergeCell ref="B195:C195"/>
    <mergeCell ref="A199:R199"/>
    <mergeCell ref="E206:G210"/>
    <mergeCell ref="J176:J178"/>
    <mergeCell ref="M178:O178"/>
    <mergeCell ref="A165:H166"/>
    <mergeCell ref="A169:G169"/>
    <mergeCell ref="A175:E175"/>
    <mergeCell ref="D178:E179"/>
    <mergeCell ref="Q181:R182"/>
    <mergeCell ref="A228:R228"/>
    <mergeCell ref="A232:K232"/>
    <mergeCell ref="E235:G236"/>
    <mergeCell ref="C222:D222"/>
    <mergeCell ref="C223:D224"/>
    <mergeCell ref="B223:B224"/>
    <mergeCell ref="I180:I181"/>
    <mergeCell ref="D182:E183"/>
    <mergeCell ref="L181:L182"/>
    <mergeCell ref="B215:C216"/>
    <mergeCell ref="B217:C218"/>
    <mergeCell ref="B205:C207"/>
    <mergeCell ref="B209:C211"/>
    <mergeCell ref="A203:K203"/>
    <mergeCell ref="A190:K190"/>
  </mergeCells>
  <phoneticPr fontId="9" type="noConversion"/>
  <pageMargins left="0.7" right="0.7" top="0.75" bottom="0.75" header="0.3" footer="0.3"/>
  <pageSetup scale="19"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6B80-D265-4F38-86BB-FEE86D9999E6}">
  <dimension ref="A1:AE200"/>
  <sheetViews>
    <sheetView tabSelected="1" topLeftCell="A5" zoomScale="90" zoomScaleNormal="90" workbookViewId="0">
      <selection activeCell="U9" sqref="U9"/>
    </sheetView>
  </sheetViews>
  <sheetFormatPr defaultRowHeight="14.4" x14ac:dyDescent="0.3"/>
  <cols>
    <col min="1" max="31" width="14.77734375" customWidth="1"/>
  </cols>
  <sheetData>
    <row r="1" spans="1:31" ht="18" customHeight="1" x14ac:dyDescent="0.35">
      <c r="A1" s="131" t="s">
        <v>83</v>
      </c>
      <c r="B1" s="131"/>
      <c r="C1" s="131"/>
      <c r="D1" s="131"/>
      <c r="E1" s="131"/>
      <c r="F1" s="131"/>
      <c r="G1" s="235" t="s">
        <v>103</v>
      </c>
      <c r="H1" s="235"/>
      <c r="I1" s="235"/>
      <c r="J1" s="131" t="s">
        <v>83</v>
      </c>
      <c r="K1" s="131"/>
      <c r="L1" s="131"/>
      <c r="M1" s="131"/>
      <c r="N1" s="131"/>
      <c r="O1" s="131"/>
    </row>
    <row r="2" spans="1:31" ht="18" customHeight="1" x14ac:dyDescent="0.3">
      <c r="A2" s="10" t="s">
        <v>5</v>
      </c>
      <c r="B2" s="94"/>
      <c r="C2" s="94"/>
      <c r="D2" s="94"/>
      <c r="E2" s="94"/>
      <c r="F2" s="12" t="s">
        <v>8</v>
      </c>
      <c r="J2" s="10" t="s">
        <v>5</v>
      </c>
      <c r="K2" s="94"/>
      <c r="L2" s="94"/>
      <c r="M2" s="94"/>
      <c r="N2" s="94"/>
      <c r="O2" s="12" t="s">
        <v>8</v>
      </c>
      <c r="P2" s="112"/>
      <c r="Q2" s="128" t="s">
        <v>81</v>
      </c>
      <c r="R2" s="128" t="s">
        <v>97</v>
      </c>
      <c r="S2" s="128" t="s">
        <v>116</v>
      </c>
      <c r="U2" s="244" t="s">
        <v>109</v>
      </c>
      <c r="V2" s="246"/>
      <c r="X2" s="244" t="s">
        <v>112</v>
      </c>
      <c r="Y2" s="245"/>
      <c r="Z2" s="245"/>
      <c r="AA2" s="245"/>
      <c r="AB2" s="246"/>
    </row>
    <row r="3" spans="1:31" ht="18" customHeight="1" x14ac:dyDescent="0.3">
      <c r="A3" s="12"/>
      <c r="B3" s="61">
        <v>-0.37806568533891394</v>
      </c>
      <c r="C3" s="61">
        <v>-0.67699741026567173</v>
      </c>
      <c r="D3" s="61">
        <v>-1.3589807460522612</v>
      </c>
      <c r="E3" s="61">
        <v>-1.9056239248799161</v>
      </c>
      <c r="F3" s="15">
        <v>2</v>
      </c>
      <c r="J3" s="12"/>
      <c r="K3" s="61">
        <v>0.40872845598398955</v>
      </c>
      <c r="L3" s="61">
        <v>0.69225411753175969</v>
      </c>
      <c r="M3" s="61">
        <v>1.0973331755196423</v>
      </c>
      <c r="N3" s="61">
        <v>1.1955874992027573</v>
      </c>
      <c r="O3" s="15">
        <v>1</v>
      </c>
      <c r="P3" s="113"/>
      <c r="Q3" s="128" t="s">
        <v>111</v>
      </c>
      <c r="R3" s="128" t="s">
        <v>97</v>
      </c>
      <c r="S3" s="128" t="s">
        <v>117</v>
      </c>
      <c r="U3" s="248"/>
      <c r="V3" s="248"/>
      <c r="X3" s="247" t="s">
        <v>113</v>
      </c>
      <c r="Y3" s="247"/>
      <c r="Z3" s="247"/>
      <c r="AA3" s="247"/>
      <c r="AB3" s="247"/>
    </row>
    <row r="4" spans="1:31" ht="18" customHeight="1" x14ac:dyDescent="0.3">
      <c r="A4" s="12"/>
      <c r="B4" s="61">
        <v>0.40872845598398955</v>
      </c>
      <c r="C4" s="61">
        <v>0.69225411753175969</v>
      </c>
      <c r="D4" s="61">
        <v>1.0973331755196423</v>
      </c>
      <c r="E4" s="61">
        <v>1.1955874992027573</v>
      </c>
      <c r="F4" s="15">
        <v>1</v>
      </c>
      <c r="J4" s="12"/>
      <c r="K4" s="61">
        <v>0.23923915005200891</v>
      </c>
      <c r="L4" s="61">
        <v>0.54607491198125124</v>
      </c>
      <c r="M4" s="61">
        <v>0.55066153579842136</v>
      </c>
      <c r="N4" s="61">
        <v>0.80910908540497495</v>
      </c>
      <c r="O4" s="15">
        <v>1</v>
      </c>
      <c r="P4" s="113"/>
      <c r="U4" s="248"/>
      <c r="V4" s="248"/>
      <c r="X4" s="247"/>
      <c r="Y4" s="247"/>
      <c r="Z4" s="247"/>
      <c r="AA4" s="247"/>
      <c r="AB4" s="247"/>
    </row>
    <row r="5" spans="1:31" ht="18" customHeight="1" x14ac:dyDescent="0.3">
      <c r="A5" s="12"/>
      <c r="B5" s="61">
        <v>-0.14942741726637135</v>
      </c>
      <c r="C5" s="61">
        <v>-0.41361540108076145</v>
      </c>
      <c r="D5" s="61">
        <v>-1.0620337591921905</v>
      </c>
      <c r="E5" s="61">
        <v>-1.5793807325380578</v>
      </c>
      <c r="F5" s="15">
        <v>2</v>
      </c>
      <c r="J5" s="12"/>
      <c r="K5" s="61">
        <v>0.40872845598398955</v>
      </c>
      <c r="L5" s="61">
        <v>0.69225411753175958</v>
      </c>
      <c r="M5" s="61">
        <v>1.097333175519642</v>
      </c>
      <c r="N5" s="61">
        <v>1.2912243595415676</v>
      </c>
      <c r="O5" s="15">
        <v>1</v>
      </c>
      <c r="P5" s="113"/>
      <c r="Q5" s="251" t="s">
        <v>101</v>
      </c>
      <c r="R5" s="252"/>
      <c r="S5" s="253"/>
      <c r="U5" s="248"/>
      <c r="V5" s="248"/>
      <c r="X5" s="247"/>
      <c r="Y5" s="247"/>
      <c r="Z5" s="247"/>
      <c r="AA5" s="247"/>
      <c r="AB5" s="247"/>
    </row>
    <row r="6" spans="1:31" ht="18" customHeight="1" thickBot="1" x14ac:dyDescent="0.35">
      <c r="A6" s="12"/>
      <c r="B6" s="61">
        <v>0.23923915005200891</v>
      </c>
      <c r="C6" s="61">
        <v>0.54607491198125124</v>
      </c>
      <c r="D6" s="61">
        <v>0.55066153579842136</v>
      </c>
      <c r="E6" s="61">
        <v>0.80910908540497495</v>
      </c>
      <c r="F6" s="15">
        <v>1</v>
      </c>
      <c r="J6" s="29"/>
      <c r="K6" s="68">
        <v>0.23923915005200891</v>
      </c>
      <c r="L6" s="68">
        <v>0.54607491198125124</v>
      </c>
      <c r="M6" s="68">
        <v>0.96858288142615678</v>
      </c>
      <c r="N6" s="68">
        <v>1.0814390907557363</v>
      </c>
      <c r="O6" s="25">
        <v>1</v>
      </c>
      <c r="P6" s="113"/>
      <c r="Q6" s="216"/>
      <c r="R6" s="216"/>
      <c r="S6" s="216"/>
      <c r="X6" s="247"/>
      <c r="Y6" s="247"/>
      <c r="Z6" s="247"/>
      <c r="AA6" s="247"/>
      <c r="AB6" s="247"/>
    </row>
    <row r="7" spans="1:31" ht="18" customHeight="1" x14ac:dyDescent="0.3">
      <c r="A7" s="12"/>
      <c r="B7" s="61">
        <v>0.40872845598398955</v>
      </c>
      <c r="C7" s="61">
        <v>0.69225411753175958</v>
      </c>
      <c r="D7" s="61">
        <v>1.097333175519642</v>
      </c>
      <c r="E7" s="61">
        <v>1.2912243595415676</v>
      </c>
      <c r="F7" s="15">
        <v>1</v>
      </c>
      <c r="J7" s="22"/>
      <c r="K7" s="66">
        <v>-0.37806568533891394</v>
      </c>
      <c r="L7" s="66">
        <v>-0.67699741026567173</v>
      </c>
      <c r="M7" s="66">
        <v>-1.3589807460522612</v>
      </c>
      <c r="N7" s="66">
        <v>-1.9056239248799161</v>
      </c>
      <c r="O7" s="27">
        <v>2</v>
      </c>
      <c r="P7" s="113"/>
      <c r="Q7" s="216"/>
      <c r="R7" s="216"/>
      <c r="S7" s="216"/>
    </row>
    <row r="8" spans="1:31" ht="18" customHeight="1" x14ac:dyDescent="0.3">
      <c r="A8" s="12"/>
      <c r="B8" s="61">
        <v>0.23923915005200891</v>
      </c>
      <c r="C8" s="61">
        <v>0.54607491198125124</v>
      </c>
      <c r="D8" s="61">
        <v>0.96858288142615678</v>
      </c>
      <c r="E8" s="61">
        <v>1.0814390907557363</v>
      </c>
      <c r="F8" s="15">
        <v>1</v>
      </c>
      <c r="J8" s="12"/>
      <c r="K8" s="61">
        <v>-0.14942741726637135</v>
      </c>
      <c r="L8" s="61">
        <v>-0.41361540108076145</v>
      </c>
      <c r="M8" s="61">
        <v>-1.0620337591921905</v>
      </c>
      <c r="N8" s="61">
        <v>-1.5793807325380578</v>
      </c>
      <c r="O8" s="15">
        <v>2</v>
      </c>
      <c r="P8" s="113"/>
      <c r="Q8" s="216"/>
      <c r="R8" s="216"/>
      <c r="S8" s="216"/>
      <c r="X8" s="242" t="s">
        <v>114</v>
      </c>
      <c r="Y8" s="242"/>
      <c r="Z8" s="242"/>
      <c r="AA8" s="242"/>
    </row>
    <row r="9" spans="1:31" ht="18" customHeight="1" x14ac:dyDescent="0.3">
      <c r="A9" s="12"/>
      <c r="B9" s="61">
        <v>-0.32058777621177315</v>
      </c>
      <c r="C9" s="61">
        <v>-0.82013350598256329</v>
      </c>
      <c r="D9" s="61">
        <v>-1.5186565413621942</v>
      </c>
      <c r="E9" s="61">
        <v>-1.9627811825322841</v>
      </c>
      <c r="F9" s="15">
        <v>2</v>
      </c>
      <c r="J9" s="12"/>
      <c r="K9" s="61">
        <v>-0.32058777621177315</v>
      </c>
      <c r="L9" s="61">
        <v>-0.82013350598256329</v>
      </c>
      <c r="M9" s="61">
        <v>-1.5186565413621942</v>
      </c>
      <c r="N9" s="61">
        <v>-1.9627811825322841</v>
      </c>
      <c r="O9" s="15">
        <v>2</v>
      </c>
      <c r="P9" s="113"/>
      <c r="Q9" s="113"/>
      <c r="X9" s="243" t="s">
        <v>113</v>
      </c>
      <c r="Y9" s="243"/>
      <c r="Z9" s="243"/>
      <c r="AA9" s="243"/>
    </row>
    <row r="10" spans="1:31" ht="18" customHeight="1" x14ac:dyDescent="0.3">
      <c r="A10" s="12"/>
      <c r="B10" s="61">
        <v>-0.37806568533891394</v>
      </c>
      <c r="C10" s="61">
        <v>-0.67699741026567162</v>
      </c>
      <c r="D10" s="61">
        <v>-0.81342787967727681</v>
      </c>
      <c r="E10" s="61">
        <v>-1.1814449898616624</v>
      </c>
      <c r="F10" s="15">
        <v>2</v>
      </c>
      <c r="J10" s="12"/>
      <c r="K10" s="61">
        <v>-0.37806568533891394</v>
      </c>
      <c r="L10" s="61">
        <v>-0.67699741026567162</v>
      </c>
      <c r="M10" s="61">
        <v>-0.81342787967727681</v>
      </c>
      <c r="N10" s="61">
        <v>-1.1814449898616624</v>
      </c>
      <c r="O10" s="15">
        <v>2</v>
      </c>
      <c r="P10" s="113"/>
      <c r="Q10" s="249" t="s">
        <v>100</v>
      </c>
      <c r="R10" s="249"/>
      <c r="S10" s="249"/>
      <c r="X10" s="243"/>
      <c r="Y10" s="243"/>
      <c r="Z10" s="243"/>
      <c r="AA10" s="243"/>
    </row>
    <row r="11" spans="1:31" ht="18" customHeight="1" x14ac:dyDescent="0.3">
      <c r="A11" s="12"/>
      <c r="B11" s="61">
        <v>-0.37806568533891394</v>
      </c>
      <c r="C11" s="61">
        <v>-0.67699741026567162</v>
      </c>
      <c r="D11" s="61">
        <v>-1.3589807460522612</v>
      </c>
      <c r="E11" s="61">
        <v>-1.9056239248799161</v>
      </c>
      <c r="F11" s="15">
        <v>2</v>
      </c>
      <c r="J11" s="12"/>
      <c r="K11" s="61">
        <v>-0.37806568533891394</v>
      </c>
      <c r="L11" s="61">
        <v>-0.67699741026567162</v>
      </c>
      <c r="M11" s="61">
        <v>-1.3589807460522612</v>
      </c>
      <c r="N11" s="61">
        <v>-1.9056239248799161</v>
      </c>
      <c r="O11" s="15">
        <v>2</v>
      </c>
      <c r="P11" s="113"/>
      <c r="Q11" s="250"/>
      <c r="R11" s="250"/>
      <c r="S11" s="250"/>
      <c r="X11" s="243"/>
      <c r="Y11" s="243"/>
      <c r="Z11" s="243"/>
      <c r="AA11" s="243"/>
    </row>
    <row r="12" spans="1:31" ht="18" customHeight="1" x14ac:dyDescent="0.3">
      <c r="A12" s="12"/>
      <c r="B12" s="61">
        <v>-0.37806568533891394</v>
      </c>
      <c r="C12" s="61">
        <v>-0.67699741026567162</v>
      </c>
      <c r="D12" s="61">
        <v>-1.3589807460522612</v>
      </c>
      <c r="E12" s="61">
        <v>-1.9056239248799161</v>
      </c>
      <c r="F12" s="15">
        <v>2</v>
      </c>
      <c r="J12" s="12"/>
      <c r="K12" s="61">
        <v>-0.37806568533891394</v>
      </c>
      <c r="L12" s="61">
        <v>-0.67699741026567162</v>
      </c>
      <c r="M12" s="61">
        <v>-1.3589807460522612</v>
      </c>
      <c r="N12" s="61">
        <v>-1.9056239248799161</v>
      </c>
      <c r="O12" s="15">
        <v>2</v>
      </c>
      <c r="P12" s="113"/>
      <c r="Q12" s="250"/>
      <c r="R12" s="250"/>
      <c r="S12" s="250"/>
      <c r="X12" s="243"/>
      <c r="Y12" s="243"/>
      <c r="Z12" s="243"/>
      <c r="AA12" s="243"/>
    </row>
    <row r="13" spans="1:31" ht="18" customHeight="1" x14ac:dyDescent="0.3">
      <c r="X13" s="243"/>
      <c r="Y13" s="243"/>
      <c r="Z13" s="243"/>
      <c r="AA13" s="243"/>
    </row>
    <row r="14" spans="1:31" ht="18" customHeight="1" thickBot="1" x14ac:dyDescent="0.3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</row>
    <row r="15" spans="1:31" ht="18" customHeight="1" x14ac:dyDescent="0.3"/>
    <row r="16" spans="1:31" ht="18" customHeight="1" x14ac:dyDescent="0.3"/>
    <row r="17" spans="1:31" ht="18" customHeight="1" x14ac:dyDescent="0.3">
      <c r="D17" s="131" t="s">
        <v>102</v>
      </c>
      <c r="E17" s="131"/>
    </row>
    <row r="18" spans="1:31" ht="18" customHeight="1" x14ac:dyDescent="0.3">
      <c r="A18" s="10" t="s">
        <v>5</v>
      </c>
      <c r="B18" s="11"/>
      <c r="C18" s="12" t="s">
        <v>8</v>
      </c>
      <c r="D18" s="111" t="s">
        <v>94</v>
      </c>
      <c r="E18" s="111" t="s">
        <v>95</v>
      </c>
      <c r="Q18" s="10" t="s">
        <v>5</v>
      </c>
      <c r="R18" s="11" t="s">
        <v>115</v>
      </c>
      <c r="S18" s="12"/>
    </row>
    <row r="19" spans="1:31" ht="18" customHeight="1" x14ac:dyDescent="0.3">
      <c r="A19" s="12" t="s">
        <v>84</v>
      </c>
      <c r="B19" s="61">
        <v>-0.37806568533891394</v>
      </c>
      <c r="C19" s="15">
        <v>2</v>
      </c>
      <c r="D19" s="114" t="e">
        <f>IF(C19=1,B19,NA())</f>
        <v>#N/A</v>
      </c>
      <c r="E19" s="114">
        <f>IF(C19=2,B19,NA())</f>
        <v>-0.37806568533891394</v>
      </c>
      <c r="J19" s="234" t="s">
        <v>107</v>
      </c>
      <c r="K19" s="234"/>
      <c r="L19" s="234"/>
      <c r="Q19" s="12" t="s">
        <v>84</v>
      </c>
      <c r="R19" s="129">
        <f t="shared" ref="R19:R28" si="0">IF(C19=1,1,-1)*(B19-$K$20)</f>
        <v>0.42297155173173273</v>
      </c>
      <c r="S19" s="130">
        <f t="shared" ref="S19:S28" si="1">IF(B19&gt;$K$20,1,2)</f>
        <v>2</v>
      </c>
    </row>
    <row r="20" spans="1:31" ht="18" customHeight="1" x14ac:dyDescent="0.3">
      <c r="A20" s="12" t="s">
        <v>85</v>
      </c>
      <c r="B20" s="61">
        <v>0.40872845598398955</v>
      </c>
      <c r="C20" s="15">
        <v>1</v>
      </c>
      <c r="D20" s="114">
        <f t="shared" ref="D20:D28" si="2">IF(C20=1,B20,NA())</f>
        <v>0.40872845598398955</v>
      </c>
      <c r="E20" s="114" t="e">
        <f t="shared" ref="E20:E28" si="3">IF(C20=2,B20,NA())</f>
        <v>#N/A</v>
      </c>
      <c r="K20" s="127">
        <f>(_xlfn.MINIFS(B19:B28,C19:C28,1)+_xlfn.MAXIFS(B19:B28,C19:C28,2))/2</f>
        <v>4.490586639281878E-2</v>
      </c>
      <c r="Q20" s="12" t="s">
        <v>85</v>
      </c>
      <c r="R20" s="129">
        <f t="shared" si="0"/>
        <v>0.36382258959117075</v>
      </c>
      <c r="S20" s="130">
        <f t="shared" si="1"/>
        <v>1</v>
      </c>
    </row>
    <row r="21" spans="1:31" ht="18" customHeight="1" x14ac:dyDescent="0.3">
      <c r="A21" s="12" t="s">
        <v>86</v>
      </c>
      <c r="B21" s="61">
        <v>-0.14942741726637135</v>
      </c>
      <c r="C21" s="15">
        <v>2</v>
      </c>
      <c r="D21" s="114" t="e">
        <f t="shared" si="2"/>
        <v>#N/A</v>
      </c>
      <c r="E21" s="114">
        <f t="shared" si="3"/>
        <v>-0.14942741726637135</v>
      </c>
      <c r="Q21" s="12" t="s">
        <v>86</v>
      </c>
      <c r="R21" s="129">
        <f t="shared" si="0"/>
        <v>0.19433328365919011</v>
      </c>
      <c r="S21" s="130">
        <f t="shared" si="1"/>
        <v>2</v>
      </c>
    </row>
    <row r="22" spans="1:31" ht="18" customHeight="1" x14ac:dyDescent="0.3">
      <c r="A22" s="12" t="s">
        <v>87</v>
      </c>
      <c r="B22" s="61">
        <v>0.23923915005200891</v>
      </c>
      <c r="C22" s="15">
        <v>1</v>
      </c>
      <c r="D22" s="114">
        <f t="shared" si="2"/>
        <v>0.23923915005200891</v>
      </c>
      <c r="E22" s="114" t="e">
        <f t="shared" si="3"/>
        <v>#N/A</v>
      </c>
      <c r="G22" s="234" t="s">
        <v>96</v>
      </c>
      <c r="H22" s="234"/>
      <c r="I22" s="234"/>
      <c r="M22" s="234" t="s">
        <v>98</v>
      </c>
      <c r="N22" s="234"/>
      <c r="O22" s="234"/>
      <c r="Q22" s="12" t="s">
        <v>87</v>
      </c>
      <c r="R22" s="129">
        <f t="shared" si="0"/>
        <v>0.19433328365919011</v>
      </c>
      <c r="S22" s="130">
        <f t="shared" si="1"/>
        <v>1</v>
      </c>
    </row>
    <row r="23" spans="1:31" ht="18" customHeight="1" x14ac:dyDescent="0.3">
      <c r="A23" s="12" t="s">
        <v>88</v>
      </c>
      <c r="B23" s="61">
        <v>0.40872845598398955</v>
      </c>
      <c r="C23" s="15">
        <v>1</v>
      </c>
      <c r="D23" s="114">
        <f t="shared" si="2"/>
        <v>0.40872845598398955</v>
      </c>
      <c r="E23" s="114" t="e">
        <f t="shared" si="3"/>
        <v>#N/A</v>
      </c>
      <c r="G23" s="120" t="str">
        <f>INDEX(A19:A28,MATCH(_xlfn.MAXIFS(B19:B28,C19:C28,2),B19:B28,0))</f>
        <v>S3</v>
      </c>
      <c r="H23" s="125" t="s">
        <v>97</v>
      </c>
      <c r="I23" s="120">
        <f>_xlfn.MAXIFS(B19:B28,C19:C28,2)</f>
        <v>-0.14942741726637135</v>
      </c>
      <c r="M23" s="91" t="str">
        <f>INDEX(A19:A28,MATCH(_xlfn.MINIFS(B19:B28,C19:C28,1),B19:B28,0))</f>
        <v>S4</v>
      </c>
      <c r="N23" s="125" t="s">
        <v>97</v>
      </c>
      <c r="O23" s="91">
        <f>_xlfn.MINIFS(B19:B28,C19:C28,1)</f>
        <v>0.23923915005200891</v>
      </c>
      <c r="Q23" s="12" t="s">
        <v>88</v>
      </c>
      <c r="R23" s="129">
        <f>IF(C23=1,1,-1)*(B23-$K$20)</f>
        <v>0.36382258959117075</v>
      </c>
      <c r="S23" s="130">
        <f t="shared" si="1"/>
        <v>1</v>
      </c>
    </row>
    <row r="24" spans="1:31" ht="18" customHeight="1" x14ac:dyDescent="0.3">
      <c r="A24" s="12" t="s">
        <v>89</v>
      </c>
      <c r="B24" s="61">
        <v>0.23923915005200891</v>
      </c>
      <c r="C24" s="15">
        <v>1</v>
      </c>
      <c r="D24" s="114">
        <f t="shared" si="2"/>
        <v>0.23923915005200891</v>
      </c>
      <c r="E24" s="114" t="e">
        <f t="shared" si="3"/>
        <v>#N/A</v>
      </c>
      <c r="M24" s="117" t="s">
        <v>89</v>
      </c>
      <c r="N24" s="125" t="s">
        <v>97</v>
      </c>
      <c r="O24" s="124">
        <f>_xlfn.MINIFS(B19:B28,C19:C28,1)</f>
        <v>0.23923915005200891</v>
      </c>
      <c r="Q24" s="12" t="s">
        <v>89</v>
      </c>
      <c r="R24" s="129">
        <f t="shared" si="0"/>
        <v>0.19433328365919011</v>
      </c>
      <c r="S24" s="130">
        <f t="shared" si="1"/>
        <v>1</v>
      </c>
    </row>
    <row r="25" spans="1:31" ht="18" customHeight="1" x14ac:dyDescent="0.3">
      <c r="A25" s="12" t="s">
        <v>90</v>
      </c>
      <c r="B25" s="61">
        <v>-0.32058777621177315</v>
      </c>
      <c r="C25" s="15">
        <v>2</v>
      </c>
      <c r="D25" s="114" t="e">
        <f t="shared" si="2"/>
        <v>#N/A</v>
      </c>
      <c r="E25" s="114">
        <f t="shared" si="3"/>
        <v>-0.32058777621177315</v>
      </c>
      <c r="K25" s="126">
        <f>_xlfn.MINIFS(B19:B28,C19:C28,1)-_xlfn.MAXIFS(B19:B28,C19:C28,2)</f>
        <v>0.38866656731838023</v>
      </c>
      <c r="Q25" s="12" t="s">
        <v>90</v>
      </c>
      <c r="R25" s="129">
        <f t="shared" si="0"/>
        <v>0.36549364260459194</v>
      </c>
      <c r="S25" s="130">
        <f t="shared" si="1"/>
        <v>2</v>
      </c>
    </row>
    <row r="26" spans="1:31" ht="18" customHeight="1" x14ac:dyDescent="0.3">
      <c r="A26" s="12" t="s">
        <v>91</v>
      </c>
      <c r="B26" s="61">
        <v>-0.37806568533891394</v>
      </c>
      <c r="C26" s="15">
        <v>2</v>
      </c>
      <c r="D26" s="114" t="e">
        <f t="shared" si="2"/>
        <v>#N/A</v>
      </c>
      <c r="E26" s="114">
        <f t="shared" si="3"/>
        <v>-0.37806568533891394</v>
      </c>
      <c r="J26" s="236" t="s">
        <v>99</v>
      </c>
      <c r="K26" s="237"/>
      <c r="L26" s="238"/>
      <c r="Q26" s="12" t="s">
        <v>91</v>
      </c>
      <c r="R26" s="129">
        <f t="shared" si="0"/>
        <v>0.42297155173173273</v>
      </c>
      <c r="S26" s="130">
        <f t="shared" si="1"/>
        <v>2</v>
      </c>
    </row>
    <row r="27" spans="1:31" ht="18" customHeight="1" x14ac:dyDescent="0.3">
      <c r="A27" s="12" t="s">
        <v>92</v>
      </c>
      <c r="B27" s="61">
        <v>-0.37806568533891394</v>
      </c>
      <c r="C27" s="15">
        <v>2</v>
      </c>
      <c r="D27" s="114" t="e">
        <f t="shared" si="2"/>
        <v>#N/A</v>
      </c>
      <c r="E27" s="114">
        <f t="shared" si="3"/>
        <v>-0.37806568533891394</v>
      </c>
      <c r="Q27" s="12" t="s">
        <v>92</v>
      </c>
      <c r="R27" s="129">
        <f t="shared" si="0"/>
        <v>0.42297155173173273</v>
      </c>
      <c r="S27" s="130">
        <f t="shared" si="1"/>
        <v>2</v>
      </c>
    </row>
    <row r="28" spans="1:31" ht="18" customHeight="1" x14ac:dyDescent="0.3">
      <c r="A28" s="12" t="s">
        <v>93</v>
      </c>
      <c r="B28" s="61">
        <v>-0.37806568533891394</v>
      </c>
      <c r="C28" s="15">
        <v>2</v>
      </c>
      <c r="D28" s="114" t="e">
        <f t="shared" si="2"/>
        <v>#N/A</v>
      </c>
      <c r="E28" s="114">
        <f t="shared" si="3"/>
        <v>-0.37806568533891394</v>
      </c>
      <c r="Q28" s="12" t="s">
        <v>93</v>
      </c>
      <c r="R28" s="129">
        <f t="shared" si="0"/>
        <v>0.42297155173173273</v>
      </c>
      <c r="S28" s="130">
        <f t="shared" si="1"/>
        <v>2</v>
      </c>
    </row>
    <row r="29" spans="1:31" ht="18" customHeight="1" x14ac:dyDescent="0.3"/>
    <row r="30" spans="1:31" ht="18" customHeight="1" thickBot="1" x14ac:dyDescent="0.3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</row>
    <row r="31" spans="1:31" ht="18" customHeight="1" x14ac:dyDescent="0.3"/>
    <row r="32" spans="1:31" ht="18" customHeight="1" x14ac:dyDescent="0.3"/>
    <row r="33" spans="1:31" ht="18" customHeight="1" x14ac:dyDescent="0.3">
      <c r="D33" s="131" t="s">
        <v>102</v>
      </c>
      <c r="E33" s="131"/>
    </row>
    <row r="34" spans="1:31" ht="18" customHeight="1" x14ac:dyDescent="0.3">
      <c r="A34" s="10" t="s">
        <v>5</v>
      </c>
      <c r="B34" s="11"/>
      <c r="C34" s="12" t="s">
        <v>8</v>
      </c>
      <c r="D34" s="115" t="s">
        <v>94</v>
      </c>
      <c r="E34" s="115" t="s">
        <v>95</v>
      </c>
    </row>
    <row r="35" spans="1:31" ht="18" customHeight="1" x14ac:dyDescent="0.3">
      <c r="A35" s="12" t="s">
        <v>84</v>
      </c>
      <c r="B35" s="61">
        <v>-0.67699741026567173</v>
      </c>
      <c r="C35" s="15">
        <v>2</v>
      </c>
      <c r="D35" s="114" t="e">
        <f>IF(C35=1,B35,NA())</f>
        <v>#N/A</v>
      </c>
      <c r="E35" s="114">
        <f>IF(C35=2,B35,NA())</f>
        <v>-0.67699741026567173</v>
      </c>
      <c r="J35" s="234" t="s">
        <v>107</v>
      </c>
      <c r="K35" s="234"/>
      <c r="L35" s="234"/>
    </row>
    <row r="36" spans="1:31" ht="18" customHeight="1" x14ac:dyDescent="0.3">
      <c r="A36" s="12" t="s">
        <v>85</v>
      </c>
      <c r="B36" s="61">
        <v>0.69225411753175969</v>
      </c>
      <c r="C36" s="15">
        <v>1</v>
      </c>
      <c r="D36" s="114">
        <f t="shared" ref="D36:D44" si="4">IF(C36=1,B36,NA())</f>
        <v>0.69225411753175969</v>
      </c>
      <c r="E36" s="114" t="e">
        <f t="shared" ref="E36:E44" si="5">IF(C36=2,B36,NA())</f>
        <v>#N/A</v>
      </c>
      <c r="K36" s="127">
        <f>(_xlfn.MINIFS(B35:B44,C35:C44,1)+_xlfn.MAXIFS(B35:B44,C35:C44,2))/2</f>
        <v>6.6229755450244898E-2</v>
      </c>
    </row>
    <row r="37" spans="1:31" ht="18" customHeight="1" x14ac:dyDescent="0.3">
      <c r="A37" s="12" t="s">
        <v>86</v>
      </c>
      <c r="B37" s="61">
        <v>-0.41361540108076145</v>
      </c>
      <c r="C37" s="15">
        <v>2</v>
      </c>
      <c r="D37" s="114" t="e">
        <f t="shared" si="4"/>
        <v>#N/A</v>
      </c>
      <c r="E37" s="114">
        <f t="shared" si="5"/>
        <v>-0.41361540108076145</v>
      </c>
    </row>
    <row r="38" spans="1:31" ht="18" customHeight="1" x14ac:dyDescent="0.3">
      <c r="A38" s="12" t="s">
        <v>87</v>
      </c>
      <c r="B38" s="61">
        <v>0.54607491198125124</v>
      </c>
      <c r="C38" s="15">
        <v>1</v>
      </c>
      <c r="D38" s="114">
        <f t="shared" si="4"/>
        <v>0.54607491198125124</v>
      </c>
      <c r="E38" s="114" t="e">
        <f t="shared" si="5"/>
        <v>#N/A</v>
      </c>
      <c r="G38" s="234" t="s">
        <v>96</v>
      </c>
      <c r="H38" s="234"/>
      <c r="I38" s="234"/>
      <c r="M38" s="234" t="s">
        <v>98</v>
      </c>
      <c r="N38" s="234"/>
      <c r="O38" s="234"/>
    </row>
    <row r="39" spans="1:31" ht="18" customHeight="1" x14ac:dyDescent="0.3">
      <c r="A39" s="12" t="s">
        <v>88</v>
      </c>
      <c r="B39" s="61">
        <v>0.69225411753175958</v>
      </c>
      <c r="C39" s="15">
        <v>1</v>
      </c>
      <c r="D39" s="114">
        <f t="shared" si="4"/>
        <v>0.69225411753175958</v>
      </c>
      <c r="E39" s="114" t="e">
        <f t="shared" si="5"/>
        <v>#N/A</v>
      </c>
      <c r="G39" s="120" t="str">
        <f>INDEX(A35:A44,MATCH(_xlfn.MAXIFS(B35:B44,C35:C44,2),B35:B44,0))</f>
        <v>S3</v>
      </c>
      <c r="H39" s="125" t="s">
        <v>97</v>
      </c>
      <c r="I39" s="120">
        <f>_xlfn.MAXIFS(B35:B44,C35:C44,2)</f>
        <v>-0.41361540108076145</v>
      </c>
      <c r="M39" s="91" t="str">
        <f>INDEX(A35:A44,MATCH(_xlfn.MINIFS(B35:B44,C35:C44,1),B35:B44,0))</f>
        <v>S4</v>
      </c>
      <c r="N39" s="116" t="s">
        <v>97</v>
      </c>
      <c r="O39" s="91">
        <f>_xlfn.MINIFS(B35:B44,C35:C44,1)</f>
        <v>0.54607491198125124</v>
      </c>
    </row>
    <row r="40" spans="1:31" ht="18" customHeight="1" x14ac:dyDescent="0.3">
      <c r="A40" s="12" t="s">
        <v>89</v>
      </c>
      <c r="B40" s="61">
        <v>0.54607491198125124</v>
      </c>
      <c r="C40" s="15">
        <v>1</v>
      </c>
      <c r="D40" s="114">
        <f t="shared" si="4"/>
        <v>0.54607491198125124</v>
      </c>
      <c r="E40" s="114" t="e">
        <f t="shared" si="5"/>
        <v>#N/A</v>
      </c>
      <c r="F40" s="119"/>
      <c r="M40" s="117" t="s">
        <v>89</v>
      </c>
      <c r="N40" s="125" t="s">
        <v>97</v>
      </c>
      <c r="O40" s="117">
        <f>_xlfn.MINIFS(B35:B44,C35:C44,1)</f>
        <v>0.54607491198125124</v>
      </c>
    </row>
    <row r="41" spans="1:31" ht="18" customHeight="1" x14ac:dyDescent="0.3">
      <c r="A41" s="12" t="s">
        <v>90</v>
      </c>
      <c r="B41" s="61">
        <v>-0.82013350598256329</v>
      </c>
      <c r="C41" s="15">
        <v>2</v>
      </c>
      <c r="D41" s="114" t="e">
        <f t="shared" si="4"/>
        <v>#N/A</v>
      </c>
      <c r="E41" s="114">
        <f t="shared" si="5"/>
        <v>-0.82013350598256329</v>
      </c>
      <c r="K41" s="126">
        <f>_xlfn.MINIFS(B35:B44,C35:C44,1)-_xlfn.MAXIFS(B35:B44,C35:C44,2)</f>
        <v>0.95969031306201269</v>
      </c>
    </row>
    <row r="42" spans="1:31" ht="18" customHeight="1" x14ac:dyDescent="0.3">
      <c r="A42" s="12" t="s">
        <v>91</v>
      </c>
      <c r="B42" s="61">
        <v>-0.67699741026567162</v>
      </c>
      <c r="C42" s="15">
        <v>2</v>
      </c>
      <c r="D42" s="114" t="e">
        <f t="shared" si="4"/>
        <v>#N/A</v>
      </c>
      <c r="E42" s="114">
        <f t="shared" si="5"/>
        <v>-0.67699741026567162</v>
      </c>
      <c r="J42" s="236" t="s">
        <v>99</v>
      </c>
      <c r="K42" s="237"/>
      <c r="L42" s="238"/>
    </row>
    <row r="43" spans="1:31" ht="18" customHeight="1" x14ac:dyDescent="0.3">
      <c r="A43" s="12" t="s">
        <v>92</v>
      </c>
      <c r="B43" s="61">
        <v>-0.67699741026567162</v>
      </c>
      <c r="C43" s="15">
        <v>2</v>
      </c>
      <c r="D43" s="114" t="e">
        <f t="shared" si="4"/>
        <v>#N/A</v>
      </c>
      <c r="E43" s="114">
        <f t="shared" si="5"/>
        <v>-0.67699741026567162</v>
      </c>
    </row>
    <row r="44" spans="1:31" ht="18" customHeight="1" x14ac:dyDescent="0.3">
      <c r="A44" s="12" t="s">
        <v>93</v>
      </c>
      <c r="B44" s="61">
        <v>-0.67699741026567162</v>
      </c>
      <c r="C44" s="15">
        <v>2</v>
      </c>
      <c r="D44" s="114" t="e">
        <f t="shared" si="4"/>
        <v>#N/A</v>
      </c>
      <c r="E44" s="114">
        <f t="shared" si="5"/>
        <v>-0.67699741026567162</v>
      </c>
    </row>
    <row r="45" spans="1:31" ht="18" customHeight="1" x14ac:dyDescent="0.3"/>
    <row r="46" spans="1:31" ht="18" customHeight="1" thickBot="1" x14ac:dyDescent="0.3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</row>
    <row r="47" spans="1:31" ht="18" customHeight="1" x14ac:dyDescent="0.3"/>
    <row r="48" spans="1:31" ht="18" customHeight="1" x14ac:dyDescent="0.3"/>
    <row r="49" spans="1:31" ht="18" customHeight="1" x14ac:dyDescent="0.3">
      <c r="D49" s="131" t="s">
        <v>102</v>
      </c>
      <c r="E49" s="131"/>
    </row>
    <row r="50" spans="1:31" ht="18" customHeight="1" x14ac:dyDescent="0.3">
      <c r="A50" s="10" t="s">
        <v>5</v>
      </c>
      <c r="B50" s="11"/>
      <c r="C50" s="12" t="s">
        <v>8</v>
      </c>
      <c r="D50" s="115" t="s">
        <v>94</v>
      </c>
      <c r="E50" s="115" t="s">
        <v>95</v>
      </c>
    </row>
    <row r="51" spans="1:31" ht="18" customHeight="1" x14ac:dyDescent="0.3">
      <c r="A51" s="12" t="s">
        <v>84</v>
      </c>
      <c r="B51" s="61">
        <v>-1.3589807460522612</v>
      </c>
      <c r="C51" s="15">
        <v>2</v>
      </c>
      <c r="D51" s="114" t="e">
        <f>IF(C51=1,B51,NA())</f>
        <v>#N/A</v>
      </c>
      <c r="E51" s="114">
        <f>IF(C51=2,B51,NA())</f>
        <v>-1.3589807460522612</v>
      </c>
      <c r="J51" s="234" t="s">
        <v>107</v>
      </c>
      <c r="K51" s="234"/>
      <c r="L51" s="234"/>
    </row>
    <row r="52" spans="1:31" ht="18" customHeight="1" x14ac:dyDescent="0.3">
      <c r="A52" s="12" t="s">
        <v>85</v>
      </c>
      <c r="B52" s="61">
        <v>1.0973331755196423</v>
      </c>
      <c r="C52" s="15">
        <v>1</v>
      </c>
      <c r="D52" s="114">
        <f t="shared" ref="D52:D60" si="6">IF(C52=1,B52,NA())</f>
        <v>1.0973331755196423</v>
      </c>
      <c r="E52" s="114" t="e">
        <f t="shared" ref="E52:E60" si="7">IF(C52=2,B52,NA())</f>
        <v>#N/A</v>
      </c>
      <c r="K52" s="127">
        <f>(_xlfn.MINIFS(B51:B60,C51:C60,1)+_xlfn.MAXIFS(B51:B60,C51:C60,2))/2</f>
        <v>-0.13138317193942772</v>
      </c>
    </row>
    <row r="53" spans="1:31" ht="18" customHeight="1" x14ac:dyDescent="0.3">
      <c r="A53" s="12" t="s">
        <v>86</v>
      </c>
      <c r="B53" s="61">
        <v>-1.0620337591921905</v>
      </c>
      <c r="C53" s="15">
        <v>2</v>
      </c>
      <c r="D53" s="114" t="e">
        <f t="shared" si="6"/>
        <v>#N/A</v>
      </c>
      <c r="E53" s="114">
        <f>IF(C53=2,B53,NA())</f>
        <v>-1.0620337591921905</v>
      </c>
    </row>
    <row r="54" spans="1:31" ht="18" customHeight="1" x14ac:dyDescent="0.3">
      <c r="A54" s="12" t="s">
        <v>87</v>
      </c>
      <c r="B54" s="61">
        <v>0.55066153579842136</v>
      </c>
      <c r="C54" s="15">
        <v>1</v>
      </c>
      <c r="D54" s="114">
        <f t="shared" si="6"/>
        <v>0.55066153579842136</v>
      </c>
      <c r="E54" s="114" t="e">
        <f t="shared" si="7"/>
        <v>#N/A</v>
      </c>
      <c r="G54" s="234" t="s">
        <v>96</v>
      </c>
      <c r="H54" s="234"/>
      <c r="I54" s="234"/>
      <c r="M54" s="234" t="s">
        <v>98</v>
      </c>
      <c r="N54" s="234"/>
      <c r="O54" s="234"/>
    </row>
    <row r="55" spans="1:31" ht="18" customHeight="1" x14ac:dyDescent="0.3">
      <c r="A55" s="12" t="s">
        <v>88</v>
      </c>
      <c r="B55" s="61">
        <v>1.097333175519642</v>
      </c>
      <c r="C55" s="15">
        <v>1</v>
      </c>
      <c r="D55" s="114">
        <f t="shared" si="6"/>
        <v>1.097333175519642</v>
      </c>
      <c r="E55" s="114" t="e">
        <f t="shared" si="7"/>
        <v>#N/A</v>
      </c>
      <c r="G55" s="120" t="str">
        <f>INDEX(A51:A60,MATCH(_xlfn.MAXIFS(B51:B60,C51:C60,2),B51:B60,0))</f>
        <v>S8</v>
      </c>
      <c r="H55" s="125" t="s">
        <v>97</v>
      </c>
      <c r="I55" s="120">
        <f>_xlfn.MAXIFS(B51:B60,C51:C60,2)</f>
        <v>-0.81342787967727681</v>
      </c>
      <c r="M55" s="91" t="str">
        <f>INDEX(A51:A60,MATCH(_xlfn.MINIFS(B51:B60,C51:C60,1),B51:B60,0))</f>
        <v>S4</v>
      </c>
      <c r="N55" s="116" t="s">
        <v>97</v>
      </c>
      <c r="O55" s="91">
        <f>_xlfn.MINIFS(B51:B60,C51:C60,1)</f>
        <v>0.55066153579842136</v>
      </c>
    </row>
    <row r="56" spans="1:31" ht="18" customHeight="1" x14ac:dyDescent="0.3">
      <c r="A56" s="12" t="s">
        <v>89</v>
      </c>
      <c r="B56" s="61">
        <v>0.96858288142615678</v>
      </c>
      <c r="C56" s="15">
        <v>1</v>
      </c>
      <c r="D56" s="114">
        <f t="shared" si="6"/>
        <v>0.96858288142615678</v>
      </c>
      <c r="E56" s="114" t="e">
        <f t="shared" si="7"/>
        <v>#N/A</v>
      </c>
      <c r="F56" s="119"/>
    </row>
    <row r="57" spans="1:31" ht="18" customHeight="1" x14ac:dyDescent="0.3">
      <c r="A57" s="12" t="s">
        <v>90</v>
      </c>
      <c r="B57" s="61">
        <v>-1.5186565413621942</v>
      </c>
      <c r="C57" s="15">
        <v>2</v>
      </c>
      <c r="D57" s="114" t="e">
        <f t="shared" si="6"/>
        <v>#N/A</v>
      </c>
      <c r="E57" s="114">
        <f t="shared" si="7"/>
        <v>-1.5186565413621942</v>
      </c>
      <c r="K57" s="126">
        <f>_xlfn.MINIFS(B51:B60,C51:C60,1)-_xlfn.MAXIFS(B51:B60,C51:C60,2)</f>
        <v>1.3640894154756982</v>
      </c>
    </row>
    <row r="58" spans="1:31" ht="18" customHeight="1" x14ac:dyDescent="0.3">
      <c r="A58" s="12" t="s">
        <v>91</v>
      </c>
      <c r="B58" s="61">
        <v>-0.81342787967727681</v>
      </c>
      <c r="C58" s="15">
        <v>2</v>
      </c>
      <c r="D58" s="114" t="e">
        <f t="shared" si="6"/>
        <v>#N/A</v>
      </c>
      <c r="E58" s="114">
        <f t="shared" si="7"/>
        <v>-0.81342787967727681</v>
      </c>
      <c r="J58" s="236" t="s">
        <v>99</v>
      </c>
      <c r="K58" s="237"/>
      <c r="L58" s="238"/>
    </row>
    <row r="59" spans="1:31" ht="18" customHeight="1" x14ac:dyDescent="0.3">
      <c r="A59" s="12" t="s">
        <v>92</v>
      </c>
      <c r="B59" s="61">
        <v>-1.3589807460522612</v>
      </c>
      <c r="C59" s="15">
        <v>2</v>
      </c>
      <c r="D59" s="114" t="e">
        <f t="shared" si="6"/>
        <v>#N/A</v>
      </c>
      <c r="E59" s="114">
        <f t="shared" si="7"/>
        <v>-1.3589807460522612</v>
      </c>
    </row>
    <row r="60" spans="1:31" ht="18" customHeight="1" x14ac:dyDescent="0.3">
      <c r="A60" s="12" t="s">
        <v>93</v>
      </c>
      <c r="B60" s="61">
        <v>-1.3589807460522612</v>
      </c>
      <c r="C60" s="15">
        <v>2</v>
      </c>
      <c r="D60" s="114" t="e">
        <f t="shared" si="6"/>
        <v>#N/A</v>
      </c>
      <c r="E60" s="114">
        <f t="shared" si="7"/>
        <v>-1.3589807460522612</v>
      </c>
    </row>
    <row r="61" spans="1:31" ht="18" customHeight="1" x14ac:dyDescent="0.3"/>
    <row r="62" spans="1:31" ht="18" customHeight="1" thickBot="1" x14ac:dyDescent="0.3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</row>
    <row r="63" spans="1:31" ht="18" customHeight="1" x14ac:dyDescent="0.3"/>
    <row r="64" spans="1:31" ht="18" customHeight="1" x14ac:dyDescent="0.3"/>
    <row r="65" spans="1:31" ht="18" customHeight="1" x14ac:dyDescent="0.3">
      <c r="D65" s="131" t="s">
        <v>102</v>
      </c>
      <c r="E65" s="131"/>
    </row>
    <row r="66" spans="1:31" ht="18" customHeight="1" x14ac:dyDescent="0.3">
      <c r="A66" s="10" t="s">
        <v>5</v>
      </c>
      <c r="B66" s="11"/>
      <c r="C66" s="12" t="s">
        <v>8</v>
      </c>
      <c r="D66" s="115" t="s">
        <v>94</v>
      </c>
      <c r="E66" s="115" t="s">
        <v>95</v>
      </c>
    </row>
    <row r="67" spans="1:31" ht="18" customHeight="1" x14ac:dyDescent="0.3">
      <c r="A67" s="12" t="s">
        <v>84</v>
      </c>
      <c r="B67" s="61">
        <v>-1.9056239248799161</v>
      </c>
      <c r="C67" s="15">
        <v>2</v>
      </c>
      <c r="D67" s="114" t="e">
        <f>IF(C67=1,B67,NA())</f>
        <v>#N/A</v>
      </c>
      <c r="E67" s="114">
        <f>IF(C67=2,B67,NA())</f>
        <v>-1.9056239248799161</v>
      </c>
      <c r="J67" s="234" t="s">
        <v>107</v>
      </c>
      <c r="K67" s="234"/>
      <c r="L67" s="234"/>
    </row>
    <row r="68" spans="1:31" ht="18" customHeight="1" x14ac:dyDescent="0.3">
      <c r="A68" s="12" t="s">
        <v>85</v>
      </c>
      <c r="B68" s="61">
        <v>1.1955874992027573</v>
      </c>
      <c r="C68" s="15">
        <v>1</v>
      </c>
      <c r="D68" s="114">
        <f t="shared" ref="D68:D76" si="8">IF(C68=1,B68,NA())</f>
        <v>1.1955874992027573</v>
      </c>
      <c r="E68" s="114" t="e">
        <f t="shared" ref="E68" si="9">IF(C68=2,B68,NA())</f>
        <v>#N/A</v>
      </c>
      <c r="K68" s="127">
        <f>(_xlfn.MINIFS(B67:B76,C67:C76,1)+_xlfn.MAXIFS(B67:B76,C67:C76,2))/2</f>
        <v>-0.1861679522283437</v>
      </c>
    </row>
    <row r="69" spans="1:31" ht="18" customHeight="1" x14ac:dyDescent="0.3">
      <c r="A69" s="12" t="s">
        <v>86</v>
      </c>
      <c r="B69" s="61">
        <v>-1.5793807325380578</v>
      </c>
      <c r="C69" s="15">
        <v>2</v>
      </c>
      <c r="D69" s="114" t="e">
        <f t="shared" si="8"/>
        <v>#N/A</v>
      </c>
      <c r="E69" s="114">
        <f>IF(C69=2,B69,NA())</f>
        <v>-1.5793807325380578</v>
      </c>
    </row>
    <row r="70" spans="1:31" ht="18" customHeight="1" x14ac:dyDescent="0.3">
      <c r="A70" s="12" t="s">
        <v>87</v>
      </c>
      <c r="B70" s="61">
        <v>0.80910908540497495</v>
      </c>
      <c r="C70" s="15">
        <v>1</v>
      </c>
      <c r="D70" s="114">
        <f t="shared" si="8"/>
        <v>0.80910908540497495</v>
      </c>
      <c r="E70" s="114" t="e">
        <f t="shared" ref="E70:E76" si="10">IF(C70=2,B70,NA())</f>
        <v>#N/A</v>
      </c>
      <c r="G70" s="234" t="s">
        <v>96</v>
      </c>
      <c r="H70" s="234"/>
      <c r="I70" s="234"/>
      <c r="M70" s="234" t="s">
        <v>98</v>
      </c>
      <c r="N70" s="234"/>
      <c r="O70" s="234"/>
    </row>
    <row r="71" spans="1:31" ht="18" customHeight="1" x14ac:dyDescent="0.3">
      <c r="A71" s="12" t="s">
        <v>88</v>
      </c>
      <c r="B71" s="61">
        <v>1.2912243595415676</v>
      </c>
      <c r="C71" s="15">
        <v>1</v>
      </c>
      <c r="D71" s="114">
        <f t="shared" si="8"/>
        <v>1.2912243595415676</v>
      </c>
      <c r="E71" s="114" t="e">
        <f t="shared" si="10"/>
        <v>#N/A</v>
      </c>
      <c r="G71" s="120" t="str">
        <f>INDEX(A67:A76,MATCH(_xlfn.MAXIFS(B67:B76,C67:C76,2),B67:B76,0))</f>
        <v>S8</v>
      </c>
      <c r="H71" s="125" t="s">
        <v>97</v>
      </c>
      <c r="I71" s="120">
        <f>_xlfn.MAXIFS(B67:B76,C67:C76,2)</f>
        <v>-1.1814449898616624</v>
      </c>
      <c r="M71" s="91" t="str">
        <f>INDEX(A67:A76,MATCH(_xlfn.MINIFS(B67:B76,C67:C76,1),B67:B76,0))</f>
        <v>S4</v>
      </c>
      <c r="N71" s="116" t="s">
        <v>97</v>
      </c>
      <c r="O71" s="91">
        <f>_xlfn.MINIFS(B67:B76,C67:C76,1)</f>
        <v>0.80910908540497495</v>
      </c>
    </row>
    <row r="72" spans="1:31" ht="18" customHeight="1" x14ac:dyDescent="0.3">
      <c r="A72" s="12" t="s">
        <v>89</v>
      </c>
      <c r="B72" s="61">
        <v>1.0814390907557363</v>
      </c>
      <c r="C72" s="15">
        <v>1</v>
      </c>
      <c r="D72" s="114">
        <f t="shared" si="8"/>
        <v>1.0814390907557363</v>
      </c>
      <c r="E72" s="114" t="e">
        <f t="shared" si="10"/>
        <v>#N/A</v>
      </c>
      <c r="F72" s="119"/>
    </row>
    <row r="73" spans="1:31" ht="18" customHeight="1" x14ac:dyDescent="0.3">
      <c r="A73" s="12" t="s">
        <v>90</v>
      </c>
      <c r="B73" s="61">
        <v>-1.9627811825322841</v>
      </c>
      <c r="C73" s="15">
        <v>2</v>
      </c>
      <c r="D73" s="114" t="e">
        <f t="shared" si="8"/>
        <v>#N/A</v>
      </c>
      <c r="E73" s="114">
        <f>IF(C73=2,B73,NA())</f>
        <v>-1.9627811825322841</v>
      </c>
      <c r="K73" s="126">
        <f>_xlfn.MINIFS(B67:B76,C67:C76,1)-_xlfn.MAXIFS(B67:B76,C67:C76,2)</f>
        <v>1.9905540752666373</v>
      </c>
    </row>
    <row r="74" spans="1:31" ht="18" customHeight="1" x14ac:dyDescent="0.3">
      <c r="A74" s="12" t="s">
        <v>91</v>
      </c>
      <c r="B74" s="61">
        <v>-1.1814449898616624</v>
      </c>
      <c r="C74" s="15">
        <v>2</v>
      </c>
      <c r="D74" s="114" t="e">
        <f t="shared" si="8"/>
        <v>#N/A</v>
      </c>
      <c r="E74" s="114">
        <f t="shared" si="10"/>
        <v>-1.1814449898616624</v>
      </c>
      <c r="J74" s="236" t="s">
        <v>99</v>
      </c>
      <c r="K74" s="237"/>
      <c r="L74" s="238"/>
    </row>
    <row r="75" spans="1:31" ht="18" customHeight="1" x14ac:dyDescent="0.3">
      <c r="A75" s="12" t="s">
        <v>92</v>
      </c>
      <c r="B75" s="61">
        <v>-1.9056239248799161</v>
      </c>
      <c r="C75" s="15">
        <v>2</v>
      </c>
      <c r="D75" s="114" t="e">
        <f t="shared" si="8"/>
        <v>#N/A</v>
      </c>
      <c r="E75" s="114">
        <f t="shared" si="10"/>
        <v>-1.9056239248799161</v>
      </c>
    </row>
    <row r="76" spans="1:31" ht="18" customHeight="1" x14ac:dyDescent="0.3">
      <c r="A76" s="12" t="s">
        <v>93</v>
      </c>
      <c r="B76" s="61">
        <v>-1.9056239248799161</v>
      </c>
      <c r="C76" s="15">
        <v>2</v>
      </c>
      <c r="D76" s="114" t="e">
        <f t="shared" si="8"/>
        <v>#N/A</v>
      </c>
      <c r="E76" s="114">
        <f t="shared" si="10"/>
        <v>-1.9056239248799161</v>
      </c>
    </row>
    <row r="77" spans="1:31" ht="18" customHeight="1" x14ac:dyDescent="0.3"/>
    <row r="78" spans="1:31" ht="18" customHeight="1" x14ac:dyDescent="0.3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</row>
    <row r="79" spans="1:31" ht="18" customHeight="1" thickBot="1" x14ac:dyDescent="0.35"/>
    <row r="80" spans="1:31" ht="18" customHeight="1" thickBot="1" x14ac:dyDescent="0.35">
      <c r="A80" s="239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D80" s="240"/>
      <c r="AE80" s="241"/>
    </row>
    <row r="81" spans="1:15" ht="18" customHeight="1" x14ac:dyDescent="0.3"/>
    <row r="82" spans="1:15" ht="18" customHeight="1" x14ac:dyDescent="0.3"/>
    <row r="83" spans="1:15" ht="18" customHeight="1" x14ac:dyDescent="0.3"/>
    <row r="84" spans="1:15" ht="18" customHeight="1" x14ac:dyDescent="0.35">
      <c r="A84" s="131" t="s">
        <v>83</v>
      </c>
      <c r="B84" s="131"/>
      <c r="C84" s="131"/>
      <c r="D84" s="131"/>
      <c r="E84" s="131"/>
      <c r="F84" s="131"/>
      <c r="G84" s="235" t="s">
        <v>104</v>
      </c>
      <c r="H84" s="235"/>
      <c r="I84" s="235"/>
      <c r="J84" s="131" t="s">
        <v>83</v>
      </c>
      <c r="K84" s="131"/>
      <c r="L84" s="131"/>
      <c r="M84" s="131"/>
      <c r="N84" s="131"/>
      <c r="O84" s="131"/>
    </row>
    <row r="85" spans="1:15" ht="18" customHeight="1" x14ac:dyDescent="0.3">
      <c r="A85" s="10" t="s">
        <v>5</v>
      </c>
      <c r="B85" s="94"/>
      <c r="C85" s="94"/>
      <c r="D85" s="94"/>
      <c r="E85" s="94"/>
      <c r="F85" s="12" t="s">
        <v>8</v>
      </c>
      <c r="J85" s="121" t="s">
        <v>5</v>
      </c>
      <c r="K85" s="122"/>
      <c r="L85" s="122"/>
      <c r="M85" s="122"/>
      <c r="N85" s="122"/>
      <c r="O85" s="123" t="s">
        <v>8</v>
      </c>
    </row>
    <row r="86" spans="1:15" ht="18" customHeight="1" x14ac:dyDescent="0.3">
      <c r="A86" s="12"/>
      <c r="B86" s="61">
        <v>0.67119378299999999</v>
      </c>
      <c r="C86" s="61">
        <v>0.72746564199999997</v>
      </c>
      <c r="D86" s="61">
        <v>0.822565082</v>
      </c>
      <c r="E86" s="61">
        <v>1.148706418</v>
      </c>
      <c r="F86" s="15">
        <v>2</v>
      </c>
      <c r="J86" s="12"/>
      <c r="K86" s="61">
        <v>0.29158564799999998</v>
      </c>
      <c r="L86" s="61">
        <v>0.26083993100000002</v>
      </c>
      <c r="M86" s="61">
        <v>9.8486029999999992E-3</v>
      </c>
      <c r="N86" s="61">
        <v>7.4825815000000004E-2</v>
      </c>
      <c r="O86" s="15">
        <v>1</v>
      </c>
    </row>
    <row r="87" spans="1:15" ht="18" customHeight="1" x14ac:dyDescent="0.3">
      <c r="A87" s="12"/>
      <c r="B87" s="61">
        <v>0.29158564799999998</v>
      </c>
      <c r="C87" s="61">
        <v>0.26083993100000002</v>
      </c>
      <c r="D87" s="61">
        <v>9.8486029999999992E-3</v>
      </c>
      <c r="E87" s="61">
        <v>7.4825815000000004E-2</v>
      </c>
      <c r="F87" s="15">
        <v>1</v>
      </c>
      <c r="J87" s="12"/>
      <c r="K87" s="61">
        <v>0.194606481</v>
      </c>
      <c r="L87" s="61">
        <v>-2.2605786999999999E-2</v>
      </c>
      <c r="M87" s="61">
        <v>0.106886127</v>
      </c>
      <c r="N87" s="61">
        <v>-1.7625798000000002E-2</v>
      </c>
      <c r="O87" s="15">
        <v>1</v>
      </c>
    </row>
    <row r="88" spans="1:15" ht="18" customHeight="1" x14ac:dyDescent="0.3">
      <c r="A88" s="12"/>
      <c r="B88" s="61">
        <v>-0.78268683900000002</v>
      </c>
      <c r="C88" s="61">
        <v>-1.729592609</v>
      </c>
      <c r="D88" s="61">
        <v>-2.5161596579999999</v>
      </c>
      <c r="E88" s="61">
        <v>-4.4937383930000001</v>
      </c>
      <c r="F88" s="15">
        <v>2</v>
      </c>
      <c r="J88" s="12"/>
      <c r="K88" s="61">
        <v>0.29158564799999998</v>
      </c>
      <c r="L88" s="61">
        <v>0.26083993100000002</v>
      </c>
      <c r="M88" s="61">
        <v>0.24577452899999999</v>
      </c>
      <c r="N88" s="61">
        <v>0.19042951899999999</v>
      </c>
      <c r="O88" s="15">
        <v>1</v>
      </c>
    </row>
    <row r="89" spans="1:15" ht="18" customHeight="1" thickBot="1" x14ac:dyDescent="0.35">
      <c r="A89" s="12"/>
      <c r="B89" s="61">
        <v>0.194606481</v>
      </c>
      <c r="C89" s="61">
        <v>-2.2605786999999999E-2</v>
      </c>
      <c r="D89" s="61">
        <v>0.106886127</v>
      </c>
      <c r="E89" s="61">
        <v>-1.7625798000000002E-2</v>
      </c>
      <c r="F89" s="15">
        <v>1</v>
      </c>
      <c r="J89" s="29"/>
      <c r="K89" s="68">
        <v>0.194606481</v>
      </c>
      <c r="L89" s="68">
        <v>0.21332013899999999</v>
      </c>
      <c r="M89" s="68">
        <v>0.222489831</v>
      </c>
      <c r="N89" s="68">
        <v>3.9020016999999997E-2</v>
      </c>
      <c r="O89" s="25">
        <v>1</v>
      </c>
    </row>
    <row r="90" spans="1:15" ht="18" customHeight="1" x14ac:dyDescent="0.3">
      <c r="A90" s="12"/>
      <c r="B90" s="61">
        <v>0.29158564799999998</v>
      </c>
      <c r="C90" s="61">
        <v>0.26083993100000002</v>
      </c>
      <c r="D90" s="61">
        <v>0.24577452899999999</v>
      </c>
      <c r="E90" s="61">
        <v>0.19042951899999999</v>
      </c>
      <c r="F90" s="15">
        <v>1</v>
      </c>
      <c r="J90" s="22"/>
      <c r="K90" s="66">
        <v>0.67119378299999999</v>
      </c>
      <c r="L90" s="66">
        <v>0.72746564199999997</v>
      </c>
      <c r="M90" s="66">
        <v>0.822565082</v>
      </c>
      <c r="N90" s="66">
        <v>1.148706418</v>
      </c>
      <c r="O90" s="27">
        <v>2</v>
      </c>
    </row>
    <row r="91" spans="1:15" ht="18" customHeight="1" x14ac:dyDescent="0.3">
      <c r="A91" s="12"/>
      <c r="B91" s="61">
        <v>0.194606481</v>
      </c>
      <c r="C91" s="61">
        <v>0.21332013899999999</v>
      </c>
      <c r="D91" s="61">
        <v>0.222489831</v>
      </c>
      <c r="E91" s="61">
        <v>3.9020016999999997E-2</v>
      </c>
      <c r="F91" s="15">
        <v>1</v>
      </c>
      <c r="J91" s="12"/>
      <c r="K91" s="61">
        <v>-0.78268683900000002</v>
      </c>
      <c r="L91" s="61">
        <v>-1.729592609</v>
      </c>
      <c r="M91" s="61">
        <v>-2.5161596579999999</v>
      </c>
      <c r="N91" s="61">
        <v>-4.4937383930000001</v>
      </c>
      <c r="O91" s="15">
        <v>2</v>
      </c>
    </row>
    <row r="92" spans="1:15" ht="18" customHeight="1" x14ac:dyDescent="0.3">
      <c r="A92" s="12"/>
      <c r="B92" s="61">
        <v>-0.78268683900000002</v>
      </c>
      <c r="C92" s="61">
        <v>-1.729592609</v>
      </c>
      <c r="D92" s="61">
        <v>-3.3298633610000001</v>
      </c>
      <c r="E92" s="61">
        <v>-5.8688976520000002</v>
      </c>
      <c r="F92" s="15">
        <v>2</v>
      </c>
      <c r="J92" s="12"/>
      <c r="K92" s="61">
        <v>-0.78268683900000002</v>
      </c>
      <c r="L92" s="61">
        <v>-1.729592609</v>
      </c>
      <c r="M92" s="61">
        <v>-3.3298633610000001</v>
      </c>
      <c r="N92" s="61">
        <v>-5.8688976520000002</v>
      </c>
      <c r="O92" s="15">
        <v>2</v>
      </c>
    </row>
    <row r="93" spans="1:15" ht="18" customHeight="1" x14ac:dyDescent="0.3">
      <c r="A93" s="12"/>
      <c r="B93" s="61">
        <v>-1.1171660050000001</v>
      </c>
      <c r="C93" s="61">
        <v>-1.4811586969999999</v>
      </c>
      <c r="D93" s="61">
        <v>-2.9100100499999999</v>
      </c>
      <c r="E93" s="61">
        <v>-5.1593455559999999</v>
      </c>
      <c r="F93" s="15">
        <v>2</v>
      </c>
      <c r="J93" s="12"/>
      <c r="K93" s="61">
        <v>-1.1171660050000001</v>
      </c>
      <c r="L93" s="61">
        <v>-1.4811586969999999</v>
      </c>
      <c r="M93" s="61">
        <v>-2.9100100499999999</v>
      </c>
      <c r="N93" s="61">
        <v>-5.1593455559999999</v>
      </c>
      <c r="O93" s="15">
        <v>2</v>
      </c>
    </row>
    <row r="94" spans="1:15" ht="18" customHeight="1" x14ac:dyDescent="0.3">
      <c r="A94" s="12"/>
      <c r="B94" s="61">
        <v>-1.1171660050000001</v>
      </c>
      <c r="C94" s="61">
        <v>-2.2948624010000001</v>
      </c>
      <c r="D94" s="61">
        <v>-4.2851693089999996</v>
      </c>
      <c r="E94" s="61">
        <v>-7.4833647040000004</v>
      </c>
      <c r="F94" s="15">
        <v>2</v>
      </c>
      <c r="J94" s="12"/>
      <c r="K94" s="61">
        <v>-1.1171660050000001</v>
      </c>
      <c r="L94" s="61">
        <v>-2.2948624010000001</v>
      </c>
      <c r="M94" s="61">
        <v>-4.2851693089999996</v>
      </c>
      <c r="N94" s="61">
        <v>-7.4833647040000004</v>
      </c>
      <c r="O94" s="15">
        <v>2</v>
      </c>
    </row>
    <row r="95" spans="1:15" ht="18" customHeight="1" x14ac:dyDescent="0.3">
      <c r="A95" s="12"/>
      <c r="B95" s="61">
        <v>-1.1171660050000001</v>
      </c>
      <c r="C95" s="61">
        <v>-2.2948624010000001</v>
      </c>
      <c r="D95" s="61">
        <v>-4.2851693089999996</v>
      </c>
      <c r="E95" s="61">
        <v>-7.000507561</v>
      </c>
      <c r="F95" s="15">
        <v>2</v>
      </c>
      <c r="J95" s="12"/>
      <c r="K95" s="61">
        <v>-1.1171660050000001</v>
      </c>
      <c r="L95" s="61">
        <v>-2.2948624010000001</v>
      </c>
      <c r="M95" s="61">
        <v>-4.2851693089999996</v>
      </c>
      <c r="N95" s="61">
        <v>-7.000507561</v>
      </c>
      <c r="O95" s="15">
        <v>2</v>
      </c>
    </row>
    <row r="96" spans="1:15" ht="18" customHeight="1" x14ac:dyDescent="0.3"/>
    <row r="97" spans="1:31" ht="18" customHeight="1" thickBot="1" x14ac:dyDescent="0.3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</row>
    <row r="98" spans="1:31" ht="18" customHeight="1" x14ac:dyDescent="0.3"/>
    <row r="99" spans="1:31" ht="18" customHeight="1" x14ac:dyDescent="0.3"/>
    <row r="100" spans="1:31" ht="18" customHeight="1" x14ac:dyDescent="0.3">
      <c r="D100" s="131" t="s">
        <v>102</v>
      </c>
      <c r="E100" s="131"/>
    </row>
    <row r="101" spans="1:31" ht="18" customHeight="1" x14ac:dyDescent="0.3">
      <c r="A101" s="10" t="s">
        <v>5</v>
      </c>
      <c r="B101" s="11"/>
      <c r="C101" s="12" t="s">
        <v>8</v>
      </c>
      <c r="D101" s="115" t="s">
        <v>94</v>
      </c>
      <c r="E101" s="115" t="s">
        <v>95</v>
      </c>
      <c r="Q101" s="10" t="s">
        <v>5</v>
      </c>
      <c r="R101" s="11" t="s">
        <v>115</v>
      </c>
      <c r="S101" s="12"/>
    </row>
    <row r="102" spans="1:31" ht="18" customHeight="1" x14ac:dyDescent="0.3">
      <c r="A102" s="12" t="s">
        <v>84</v>
      </c>
      <c r="B102" s="61">
        <v>0.67119378299999999</v>
      </c>
      <c r="C102" s="15">
        <v>2</v>
      </c>
      <c r="D102" s="114" t="e">
        <f>IF(C102=1,B102,NA())</f>
        <v>#N/A</v>
      </c>
      <c r="E102" s="114">
        <f>IF(C102=2,B102,NA())</f>
        <v>0.67119378299999999</v>
      </c>
      <c r="J102" s="234" t="s">
        <v>107</v>
      </c>
      <c r="K102" s="234"/>
      <c r="L102" s="234"/>
      <c r="Q102" s="12" t="s">
        <v>84</v>
      </c>
      <c r="R102" s="129">
        <f>IF(C102=1,1,-1)*(B102-$K$103)</f>
        <v>-0.238293651</v>
      </c>
      <c r="S102" s="130">
        <f t="shared" ref="S102:S111" si="11">IF(B102&gt;$K$20,1,2)</f>
        <v>1</v>
      </c>
    </row>
    <row r="103" spans="1:31" ht="18" customHeight="1" x14ac:dyDescent="0.3">
      <c r="A103" s="12" t="s">
        <v>85</v>
      </c>
      <c r="B103" s="61">
        <v>0.29158564799999998</v>
      </c>
      <c r="C103" s="15">
        <v>1</v>
      </c>
      <c r="D103" s="114">
        <f t="shared" ref="D103:D111" si="12">IF(C103=1,B103,NA())</f>
        <v>0.29158564799999998</v>
      </c>
      <c r="E103" s="114" t="e">
        <f t="shared" ref="E103:E111" si="13">IF(C103=2,B103,NA())</f>
        <v>#N/A</v>
      </c>
      <c r="K103" s="127">
        <f>(_xlfn.MINIFS(B102:B111,C102:C111,1)+_xlfn.MAXIFS(B102:B111,C102:C111,2))/2</f>
        <v>0.43290013199999999</v>
      </c>
      <c r="Q103" s="12" t="s">
        <v>85</v>
      </c>
      <c r="R103" s="129">
        <f t="shared" ref="R103:R111" si="14">IF(C103=1,1,-1)*(B103-$K$103)</f>
        <v>-0.14131448400000002</v>
      </c>
      <c r="S103" s="130">
        <f t="shared" si="11"/>
        <v>1</v>
      </c>
    </row>
    <row r="104" spans="1:31" ht="18" customHeight="1" x14ac:dyDescent="0.3">
      <c r="A104" s="12" t="s">
        <v>86</v>
      </c>
      <c r="B104" s="61">
        <v>-0.78268683900000002</v>
      </c>
      <c r="C104" s="15">
        <v>2</v>
      </c>
      <c r="D104" s="114" t="e">
        <f t="shared" si="12"/>
        <v>#N/A</v>
      </c>
      <c r="E104" s="114">
        <f t="shared" si="13"/>
        <v>-0.78268683900000002</v>
      </c>
      <c r="Q104" s="12" t="s">
        <v>86</v>
      </c>
      <c r="R104" s="129">
        <f>IF(C104=1,1,-1)*(B104-$K$103)</f>
        <v>1.215586971</v>
      </c>
      <c r="S104" s="130">
        <f t="shared" si="11"/>
        <v>2</v>
      </c>
    </row>
    <row r="105" spans="1:31" ht="18" customHeight="1" x14ac:dyDescent="0.3">
      <c r="A105" s="12" t="s">
        <v>87</v>
      </c>
      <c r="B105" s="61">
        <v>0.194606481</v>
      </c>
      <c r="C105" s="15">
        <v>1</v>
      </c>
      <c r="D105" s="114">
        <f t="shared" si="12"/>
        <v>0.194606481</v>
      </c>
      <c r="E105" s="114" t="e">
        <f t="shared" si="13"/>
        <v>#N/A</v>
      </c>
      <c r="G105" s="234" t="s">
        <v>96</v>
      </c>
      <c r="H105" s="234"/>
      <c r="I105" s="234"/>
      <c r="M105" s="234" t="s">
        <v>98</v>
      </c>
      <c r="N105" s="234"/>
      <c r="O105" s="234"/>
      <c r="Q105" s="12" t="s">
        <v>87</v>
      </c>
      <c r="R105" s="129">
        <f t="shared" si="14"/>
        <v>-0.238293651</v>
      </c>
      <c r="S105" s="130">
        <f t="shared" si="11"/>
        <v>1</v>
      </c>
    </row>
    <row r="106" spans="1:31" ht="18" customHeight="1" x14ac:dyDescent="0.3">
      <c r="A106" s="12" t="s">
        <v>88</v>
      </c>
      <c r="B106" s="61">
        <v>0.29158564799999998</v>
      </c>
      <c r="C106" s="15">
        <v>1</v>
      </c>
      <c r="D106" s="114">
        <f t="shared" si="12"/>
        <v>0.29158564799999998</v>
      </c>
      <c r="E106" s="114" t="e">
        <f t="shared" si="13"/>
        <v>#N/A</v>
      </c>
      <c r="G106" s="120" t="str">
        <f>INDEX(A102:A111,MATCH(_xlfn.MAXIFS(B102:B111,C102:C111,2),B102:B111,0))</f>
        <v>S1</v>
      </c>
      <c r="H106" s="125" t="s">
        <v>97</v>
      </c>
      <c r="I106" s="120">
        <f>_xlfn.MAXIFS(B102:B111,C102:C111,2)</f>
        <v>0.67119378299999999</v>
      </c>
      <c r="M106" s="91" t="str">
        <f>INDEX(A102:A111,MATCH(_xlfn.MINIFS(B102:B111,C102:C111,1),B102:B111,0))</f>
        <v>S4</v>
      </c>
      <c r="N106" s="116" t="s">
        <v>97</v>
      </c>
      <c r="O106" s="91">
        <f>_xlfn.MINIFS(B102:B111,C102:C111,1)</f>
        <v>0.194606481</v>
      </c>
      <c r="Q106" s="12" t="s">
        <v>88</v>
      </c>
      <c r="R106" s="129">
        <f t="shared" si="14"/>
        <v>-0.14131448400000002</v>
      </c>
      <c r="S106" s="130">
        <f t="shared" si="11"/>
        <v>1</v>
      </c>
    </row>
    <row r="107" spans="1:31" ht="18" customHeight="1" x14ac:dyDescent="0.3">
      <c r="A107" s="12" t="s">
        <v>89</v>
      </c>
      <c r="B107" s="61">
        <v>0.194606481</v>
      </c>
      <c r="C107" s="15">
        <v>1</v>
      </c>
      <c r="D107" s="114">
        <f t="shared" si="12"/>
        <v>0.194606481</v>
      </c>
      <c r="E107" s="114" t="e">
        <f t="shared" si="13"/>
        <v>#N/A</v>
      </c>
      <c r="M107" s="117" t="s">
        <v>89</v>
      </c>
      <c r="N107" s="125" t="s">
        <v>97</v>
      </c>
      <c r="O107" s="124">
        <f>_xlfn.MINIFS(B102:B111,C102:C111,1)</f>
        <v>0.194606481</v>
      </c>
      <c r="Q107" s="12" t="s">
        <v>89</v>
      </c>
      <c r="R107" s="129">
        <f t="shared" si="14"/>
        <v>-0.238293651</v>
      </c>
      <c r="S107" s="130">
        <f t="shared" si="11"/>
        <v>1</v>
      </c>
    </row>
    <row r="108" spans="1:31" ht="18" customHeight="1" x14ac:dyDescent="0.3">
      <c r="A108" s="12" t="s">
        <v>90</v>
      </c>
      <c r="B108" s="61">
        <v>-0.78268683900000002</v>
      </c>
      <c r="C108" s="15">
        <v>2</v>
      </c>
      <c r="D108" s="114" t="e">
        <f t="shared" si="12"/>
        <v>#N/A</v>
      </c>
      <c r="E108" s="114">
        <f t="shared" si="13"/>
        <v>-0.78268683900000002</v>
      </c>
      <c r="K108" s="126">
        <f>_xlfn.MINIFS(B102:B111,C102:C111,1)-_xlfn.MAXIFS(B102:B111,C102:C111,2)</f>
        <v>-0.47658730199999999</v>
      </c>
      <c r="Q108" s="12" t="s">
        <v>90</v>
      </c>
      <c r="R108" s="129">
        <f t="shared" si="14"/>
        <v>1.215586971</v>
      </c>
      <c r="S108" s="130">
        <f t="shared" si="11"/>
        <v>2</v>
      </c>
    </row>
    <row r="109" spans="1:31" ht="18" customHeight="1" x14ac:dyDescent="0.3">
      <c r="A109" s="12" t="s">
        <v>91</v>
      </c>
      <c r="B109" s="61">
        <v>-1.1171660050000001</v>
      </c>
      <c r="C109" s="15">
        <v>2</v>
      </c>
      <c r="D109" s="114" t="e">
        <f t="shared" si="12"/>
        <v>#N/A</v>
      </c>
      <c r="E109" s="114">
        <f t="shared" si="13"/>
        <v>-1.1171660050000001</v>
      </c>
      <c r="J109" s="236" t="s">
        <v>99</v>
      </c>
      <c r="K109" s="237"/>
      <c r="L109" s="238"/>
      <c r="Q109" s="12" t="s">
        <v>91</v>
      </c>
      <c r="R109" s="129">
        <f t="shared" si="14"/>
        <v>1.550066137</v>
      </c>
      <c r="S109" s="130">
        <f t="shared" si="11"/>
        <v>2</v>
      </c>
    </row>
    <row r="110" spans="1:31" ht="18" customHeight="1" x14ac:dyDescent="0.3">
      <c r="A110" s="12" t="s">
        <v>92</v>
      </c>
      <c r="B110" s="61">
        <v>-1.1171660050000001</v>
      </c>
      <c r="C110" s="15">
        <v>2</v>
      </c>
      <c r="D110" s="114" t="e">
        <f t="shared" si="12"/>
        <v>#N/A</v>
      </c>
      <c r="E110" s="114">
        <f t="shared" si="13"/>
        <v>-1.1171660050000001</v>
      </c>
      <c r="Q110" s="12" t="s">
        <v>92</v>
      </c>
      <c r="R110" s="129">
        <f t="shared" si="14"/>
        <v>1.550066137</v>
      </c>
      <c r="S110" s="130">
        <f t="shared" si="11"/>
        <v>2</v>
      </c>
    </row>
    <row r="111" spans="1:31" ht="18" customHeight="1" x14ac:dyDescent="0.3">
      <c r="A111" s="12" t="s">
        <v>93</v>
      </c>
      <c r="B111" s="61">
        <v>-1.1171660050000001</v>
      </c>
      <c r="C111" s="15">
        <v>2</v>
      </c>
      <c r="D111" s="114" t="e">
        <f t="shared" si="12"/>
        <v>#N/A</v>
      </c>
      <c r="E111" s="114">
        <f t="shared" si="13"/>
        <v>-1.1171660050000001</v>
      </c>
      <c r="Q111" s="12" t="s">
        <v>93</v>
      </c>
      <c r="R111" s="129">
        <f t="shared" si="14"/>
        <v>1.550066137</v>
      </c>
      <c r="S111" s="130">
        <f t="shared" si="11"/>
        <v>2</v>
      </c>
    </row>
    <row r="112" spans="1:31" ht="18" customHeight="1" x14ac:dyDescent="0.3"/>
    <row r="113" spans="1:31" ht="18" customHeight="1" thickBot="1" x14ac:dyDescent="0.3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</row>
    <row r="114" spans="1:31" ht="18" customHeight="1" x14ac:dyDescent="0.3"/>
    <row r="115" spans="1:31" ht="18" customHeight="1" x14ac:dyDescent="0.3"/>
    <row r="116" spans="1:31" ht="18" customHeight="1" x14ac:dyDescent="0.3">
      <c r="D116" s="131" t="s">
        <v>102</v>
      </c>
      <c r="E116" s="131"/>
    </row>
    <row r="117" spans="1:31" ht="18" customHeight="1" x14ac:dyDescent="0.3">
      <c r="A117" s="10" t="s">
        <v>5</v>
      </c>
      <c r="B117" s="11"/>
      <c r="C117" s="12" t="s">
        <v>8</v>
      </c>
      <c r="D117" s="115" t="s">
        <v>94</v>
      </c>
      <c r="E117" s="115" t="s">
        <v>95</v>
      </c>
    </row>
    <row r="118" spans="1:31" ht="18" customHeight="1" x14ac:dyDescent="0.3">
      <c r="A118" s="12" t="s">
        <v>84</v>
      </c>
      <c r="B118" s="61">
        <v>0.72746564199999997</v>
      </c>
      <c r="C118" s="15">
        <v>2</v>
      </c>
      <c r="D118" s="114" t="e">
        <f>IF(C118=1,B118,NA())</f>
        <v>#N/A</v>
      </c>
      <c r="E118" s="114">
        <f>IF(C118=2,B118,NA())</f>
        <v>0.72746564199999997</v>
      </c>
      <c r="J118" s="234" t="s">
        <v>107</v>
      </c>
      <c r="K118" s="234"/>
      <c r="L118" s="234"/>
    </row>
    <row r="119" spans="1:31" ht="18" customHeight="1" x14ac:dyDescent="0.3">
      <c r="A119" s="12" t="s">
        <v>85</v>
      </c>
      <c r="B119" s="61">
        <v>0.26083993100000002</v>
      </c>
      <c r="C119" s="15">
        <v>1</v>
      </c>
      <c r="D119" s="114">
        <f t="shared" ref="D119:D127" si="15">IF(C119=1,B119,NA())</f>
        <v>0.26083993100000002</v>
      </c>
      <c r="E119" s="114" t="e">
        <f t="shared" ref="E119:E127" si="16">IF(C119=2,B119,NA())</f>
        <v>#N/A</v>
      </c>
      <c r="K119" s="127">
        <f>(_xlfn.MINIFS(B118:B127,C118:C127,1)+_xlfn.MAXIFS(B118:B127,C118:C127,2))/2</f>
        <v>0.35242992749999996</v>
      </c>
    </row>
    <row r="120" spans="1:31" ht="18" customHeight="1" x14ac:dyDescent="0.3">
      <c r="A120" s="12" t="s">
        <v>86</v>
      </c>
      <c r="B120" s="61">
        <v>-1.729592609</v>
      </c>
      <c r="C120" s="15">
        <v>2</v>
      </c>
      <c r="D120" s="114" t="e">
        <f t="shared" si="15"/>
        <v>#N/A</v>
      </c>
      <c r="E120" s="114">
        <f t="shared" si="16"/>
        <v>-1.729592609</v>
      </c>
    </row>
    <row r="121" spans="1:31" ht="18" customHeight="1" x14ac:dyDescent="0.3">
      <c r="A121" s="12" t="s">
        <v>87</v>
      </c>
      <c r="B121" s="61">
        <v>-2.2605786999999999E-2</v>
      </c>
      <c r="C121" s="15">
        <v>1</v>
      </c>
      <c r="D121" s="114">
        <f t="shared" si="15"/>
        <v>-2.2605786999999999E-2</v>
      </c>
      <c r="E121" s="114" t="e">
        <f t="shared" si="16"/>
        <v>#N/A</v>
      </c>
      <c r="G121" s="234" t="s">
        <v>96</v>
      </c>
      <c r="H121" s="234"/>
      <c r="I121" s="234"/>
      <c r="M121" s="234" t="s">
        <v>98</v>
      </c>
      <c r="N121" s="234"/>
      <c r="O121" s="234"/>
    </row>
    <row r="122" spans="1:31" ht="18" customHeight="1" x14ac:dyDescent="0.3">
      <c r="A122" s="12" t="s">
        <v>88</v>
      </c>
      <c r="B122" s="61">
        <v>0.26083993100000002</v>
      </c>
      <c r="C122" s="15">
        <v>1</v>
      </c>
      <c r="D122" s="114">
        <f t="shared" si="15"/>
        <v>0.26083993100000002</v>
      </c>
      <c r="E122" s="114" t="e">
        <f t="shared" si="16"/>
        <v>#N/A</v>
      </c>
      <c r="G122" s="120" t="str">
        <f>INDEX(A118:A127,MATCH(_xlfn.MAXIFS(B118:B127,C118:C127,2),B118:B127,0))</f>
        <v>S1</v>
      </c>
      <c r="H122" s="125" t="s">
        <v>97</v>
      </c>
      <c r="I122" s="120">
        <f>_xlfn.MAXIFS(B118:B127,C118:C127,2)</f>
        <v>0.72746564199999997</v>
      </c>
      <c r="M122" s="91" t="str">
        <f>INDEX(A118:A127,MATCH(_xlfn.MINIFS(B118:B127,C118:C127,1),B118:B127,0))</f>
        <v>S4</v>
      </c>
      <c r="N122" s="116" t="s">
        <v>97</v>
      </c>
      <c r="O122" s="91">
        <f>_xlfn.MINIFS(B118:B127,C118:C127,1)</f>
        <v>-2.2605786999999999E-2</v>
      </c>
    </row>
    <row r="123" spans="1:31" ht="18" customHeight="1" x14ac:dyDescent="0.3">
      <c r="A123" s="12" t="s">
        <v>89</v>
      </c>
      <c r="B123" s="61">
        <v>0.21332013899999999</v>
      </c>
      <c r="C123" s="15">
        <v>1</v>
      </c>
      <c r="D123" s="114">
        <f t="shared" si="15"/>
        <v>0.21332013899999999</v>
      </c>
      <c r="E123" s="114" t="e">
        <f t="shared" si="16"/>
        <v>#N/A</v>
      </c>
    </row>
    <row r="124" spans="1:31" ht="18" customHeight="1" x14ac:dyDescent="0.3">
      <c r="A124" s="12" t="s">
        <v>90</v>
      </c>
      <c r="B124" s="61">
        <v>-1.729592609</v>
      </c>
      <c r="C124" s="15">
        <v>2</v>
      </c>
      <c r="D124" s="114" t="e">
        <f t="shared" si="15"/>
        <v>#N/A</v>
      </c>
      <c r="E124" s="114">
        <f t="shared" si="16"/>
        <v>-1.729592609</v>
      </c>
      <c r="K124" s="126">
        <f>_xlfn.MINIFS(B118:B127,C118:C127,1)-_xlfn.MAXIFS(B118:B127,C118:C127,2)</f>
        <v>-0.75007142900000001</v>
      </c>
    </row>
    <row r="125" spans="1:31" ht="18" customHeight="1" x14ac:dyDescent="0.3">
      <c r="A125" s="12" t="s">
        <v>91</v>
      </c>
      <c r="B125" s="61">
        <v>-1.4811586969999999</v>
      </c>
      <c r="C125" s="15">
        <v>2</v>
      </c>
      <c r="D125" s="114" t="e">
        <f t="shared" si="15"/>
        <v>#N/A</v>
      </c>
      <c r="E125" s="114">
        <f t="shared" si="16"/>
        <v>-1.4811586969999999</v>
      </c>
      <c r="J125" s="236" t="s">
        <v>99</v>
      </c>
      <c r="K125" s="237"/>
      <c r="L125" s="238"/>
    </row>
    <row r="126" spans="1:31" ht="18" customHeight="1" x14ac:dyDescent="0.3">
      <c r="A126" s="12" t="s">
        <v>92</v>
      </c>
      <c r="B126" s="61">
        <v>-2.2948624010000001</v>
      </c>
      <c r="C126" s="15">
        <v>2</v>
      </c>
      <c r="D126" s="114" t="e">
        <f t="shared" si="15"/>
        <v>#N/A</v>
      </c>
      <c r="E126" s="114">
        <f t="shared" si="16"/>
        <v>-2.2948624010000001</v>
      </c>
    </row>
    <row r="127" spans="1:31" ht="18" customHeight="1" x14ac:dyDescent="0.3">
      <c r="A127" s="12" t="s">
        <v>93</v>
      </c>
      <c r="B127" s="61">
        <v>-2.2948624010000001</v>
      </c>
      <c r="C127" s="15">
        <v>2</v>
      </c>
      <c r="D127" s="114" t="e">
        <f t="shared" si="15"/>
        <v>#N/A</v>
      </c>
      <c r="E127" s="114">
        <f t="shared" si="16"/>
        <v>-2.2948624010000001</v>
      </c>
    </row>
    <row r="128" spans="1:31" ht="18" customHeight="1" x14ac:dyDescent="0.3"/>
    <row r="129" spans="1:31" ht="18" customHeight="1" thickBot="1" x14ac:dyDescent="0.3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</row>
    <row r="130" spans="1:31" ht="18" customHeight="1" x14ac:dyDescent="0.3"/>
    <row r="131" spans="1:31" ht="18" customHeight="1" x14ac:dyDescent="0.3"/>
    <row r="132" spans="1:31" ht="18" customHeight="1" x14ac:dyDescent="0.3">
      <c r="D132" s="131" t="s">
        <v>102</v>
      </c>
      <c r="E132" s="131"/>
    </row>
    <row r="133" spans="1:31" ht="18" customHeight="1" x14ac:dyDescent="0.3">
      <c r="A133" s="10" t="s">
        <v>5</v>
      </c>
      <c r="B133" s="11"/>
      <c r="C133" s="12" t="s">
        <v>8</v>
      </c>
      <c r="D133" s="115" t="s">
        <v>94</v>
      </c>
      <c r="E133" s="115" t="s">
        <v>95</v>
      </c>
    </row>
    <row r="134" spans="1:31" ht="18" customHeight="1" x14ac:dyDescent="0.3">
      <c r="A134" s="12" t="s">
        <v>84</v>
      </c>
      <c r="B134" s="61">
        <v>0.822565082</v>
      </c>
      <c r="C134" s="15">
        <v>2</v>
      </c>
      <c r="D134" s="114" t="e">
        <f>IF(C134=1,B134,NA())</f>
        <v>#N/A</v>
      </c>
      <c r="E134" s="114">
        <f>IF(C134=2,B134,NA())</f>
        <v>0.822565082</v>
      </c>
      <c r="J134" s="234" t="s">
        <v>107</v>
      </c>
      <c r="K134" s="234"/>
      <c r="L134" s="234"/>
    </row>
    <row r="135" spans="1:31" ht="18" customHeight="1" x14ac:dyDescent="0.3">
      <c r="A135" s="12" t="s">
        <v>85</v>
      </c>
      <c r="B135" s="61">
        <v>9.8486029999999992E-3</v>
      </c>
      <c r="C135" s="15">
        <v>1</v>
      </c>
      <c r="D135" s="114">
        <f t="shared" ref="D135:D143" si="17">IF(C135=1,B135,NA())</f>
        <v>9.8486029999999992E-3</v>
      </c>
      <c r="E135" s="114" t="e">
        <f t="shared" ref="E135:E143" si="18">IF(C135=2,B135,NA())</f>
        <v>#N/A</v>
      </c>
      <c r="K135" s="127">
        <f>(_xlfn.MINIFS(B134:B143,C134:C143,1)+_xlfn.MAXIFS(B134:B143,C134:C143,2))/2</f>
        <v>0.41620684250000001</v>
      </c>
    </row>
    <row r="136" spans="1:31" ht="18" customHeight="1" x14ac:dyDescent="0.3">
      <c r="A136" s="12" t="s">
        <v>86</v>
      </c>
      <c r="B136" s="61">
        <v>-2.5161596579999999</v>
      </c>
      <c r="C136" s="15">
        <v>2</v>
      </c>
      <c r="D136" s="114" t="e">
        <f t="shared" si="17"/>
        <v>#N/A</v>
      </c>
      <c r="E136" s="114">
        <f t="shared" si="18"/>
        <v>-2.5161596579999999</v>
      </c>
    </row>
    <row r="137" spans="1:31" ht="18" customHeight="1" x14ac:dyDescent="0.3">
      <c r="A137" s="12" t="s">
        <v>87</v>
      </c>
      <c r="B137" s="61">
        <v>0.106886127</v>
      </c>
      <c r="C137" s="15">
        <v>1</v>
      </c>
      <c r="D137" s="114">
        <f t="shared" si="17"/>
        <v>0.106886127</v>
      </c>
      <c r="E137" s="114" t="e">
        <f t="shared" si="18"/>
        <v>#N/A</v>
      </c>
      <c r="G137" s="234" t="s">
        <v>96</v>
      </c>
      <c r="H137" s="234"/>
      <c r="I137" s="234"/>
      <c r="M137" s="234" t="s">
        <v>98</v>
      </c>
      <c r="N137" s="234"/>
      <c r="O137" s="234"/>
    </row>
    <row r="138" spans="1:31" ht="18" customHeight="1" x14ac:dyDescent="0.3">
      <c r="A138" s="12" t="s">
        <v>88</v>
      </c>
      <c r="B138" s="61">
        <v>0.24577452899999999</v>
      </c>
      <c r="C138" s="15">
        <v>1</v>
      </c>
      <c r="D138" s="114">
        <f t="shared" si="17"/>
        <v>0.24577452899999999</v>
      </c>
      <c r="E138" s="114" t="e">
        <f t="shared" si="18"/>
        <v>#N/A</v>
      </c>
      <c r="G138" s="120" t="str">
        <f>INDEX(A134:A143,MATCH(_xlfn.MAXIFS(B134:B143,C134:C143,2),B134:B143,0))</f>
        <v>S1</v>
      </c>
      <c r="H138" s="125" t="s">
        <v>97</v>
      </c>
      <c r="I138" s="120">
        <f>_xlfn.MAXIFS(B134:B143,C134:C143,2)</f>
        <v>0.822565082</v>
      </c>
      <c r="M138" s="91" t="str">
        <f>INDEX(A134:A143,MATCH(_xlfn.MINIFS(B134:B143,C134:C143,1),B134:B143,0))</f>
        <v>S2</v>
      </c>
      <c r="N138" s="116" t="s">
        <v>97</v>
      </c>
      <c r="O138" s="91">
        <f>_xlfn.MINIFS(B134:B143,C134:C143,1)</f>
        <v>9.8486029999999992E-3</v>
      </c>
    </row>
    <row r="139" spans="1:31" ht="18" customHeight="1" x14ac:dyDescent="0.3">
      <c r="A139" s="12" t="s">
        <v>89</v>
      </c>
      <c r="B139" s="61">
        <v>0.222489831</v>
      </c>
      <c r="C139" s="15">
        <v>1</v>
      </c>
      <c r="D139" s="114">
        <f t="shared" si="17"/>
        <v>0.222489831</v>
      </c>
      <c r="E139" s="114" t="e">
        <f t="shared" si="18"/>
        <v>#N/A</v>
      </c>
    </row>
    <row r="140" spans="1:31" ht="18" customHeight="1" x14ac:dyDescent="0.3">
      <c r="A140" s="12" t="s">
        <v>90</v>
      </c>
      <c r="B140" s="61">
        <v>-3.3298633610000001</v>
      </c>
      <c r="C140" s="15">
        <v>2</v>
      </c>
      <c r="D140" s="114" t="e">
        <f t="shared" si="17"/>
        <v>#N/A</v>
      </c>
      <c r="E140" s="114">
        <f t="shared" si="18"/>
        <v>-3.3298633610000001</v>
      </c>
      <c r="K140" s="126">
        <f>_xlfn.MINIFS(B134:B143,C134:C143,1)-_xlfn.MAXIFS(B134:B143,C134:C143,2)</f>
        <v>-0.81271647899999999</v>
      </c>
    </row>
    <row r="141" spans="1:31" ht="18" customHeight="1" x14ac:dyDescent="0.3">
      <c r="A141" s="12" t="s">
        <v>91</v>
      </c>
      <c r="B141" s="61">
        <v>-2.9100100499999999</v>
      </c>
      <c r="C141" s="15">
        <v>2</v>
      </c>
      <c r="D141" s="114" t="e">
        <f t="shared" si="17"/>
        <v>#N/A</v>
      </c>
      <c r="E141" s="114">
        <f t="shared" si="18"/>
        <v>-2.9100100499999999</v>
      </c>
      <c r="J141" s="236" t="s">
        <v>99</v>
      </c>
      <c r="K141" s="237"/>
      <c r="L141" s="238"/>
    </row>
    <row r="142" spans="1:31" ht="18" customHeight="1" x14ac:dyDescent="0.3">
      <c r="A142" s="12" t="s">
        <v>92</v>
      </c>
      <c r="B142" s="61">
        <v>-4.2851693089999996</v>
      </c>
      <c r="C142" s="15">
        <v>2</v>
      </c>
      <c r="D142" s="114" t="e">
        <f t="shared" si="17"/>
        <v>#N/A</v>
      </c>
      <c r="E142" s="114">
        <f t="shared" si="18"/>
        <v>-4.2851693089999996</v>
      </c>
    </row>
    <row r="143" spans="1:31" ht="18" customHeight="1" x14ac:dyDescent="0.3">
      <c r="A143" s="12" t="s">
        <v>93</v>
      </c>
      <c r="B143" s="61">
        <v>-4.2851693089999996</v>
      </c>
      <c r="C143" s="15">
        <v>2</v>
      </c>
      <c r="D143" s="114" t="e">
        <f t="shared" si="17"/>
        <v>#N/A</v>
      </c>
      <c r="E143" s="114">
        <f t="shared" si="18"/>
        <v>-4.2851693089999996</v>
      </c>
    </row>
    <row r="144" spans="1:31" ht="18" customHeight="1" x14ac:dyDescent="0.3"/>
    <row r="145" spans="1:31" ht="18" customHeight="1" thickBot="1" x14ac:dyDescent="0.3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</row>
    <row r="146" spans="1:31" ht="18" customHeight="1" x14ac:dyDescent="0.3"/>
    <row r="147" spans="1:31" ht="18" customHeight="1" x14ac:dyDescent="0.3"/>
    <row r="148" spans="1:31" ht="18" customHeight="1" x14ac:dyDescent="0.3">
      <c r="D148" s="131" t="s">
        <v>102</v>
      </c>
      <c r="E148" s="131"/>
    </row>
    <row r="149" spans="1:31" ht="18" customHeight="1" x14ac:dyDescent="0.3">
      <c r="A149" s="10" t="s">
        <v>5</v>
      </c>
      <c r="B149" s="11"/>
      <c r="C149" s="12" t="s">
        <v>8</v>
      </c>
      <c r="D149" s="115" t="s">
        <v>94</v>
      </c>
      <c r="E149" s="115" t="s">
        <v>95</v>
      </c>
    </row>
    <row r="150" spans="1:31" ht="18" customHeight="1" x14ac:dyDescent="0.3">
      <c r="A150" s="12" t="s">
        <v>84</v>
      </c>
      <c r="B150" s="61">
        <v>1.148706418</v>
      </c>
      <c r="C150" s="15">
        <v>2</v>
      </c>
      <c r="D150" s="114" t="e">
        <f>IF(C150=1,B150,NA())</f>
        <v>#N/A</v>
      </c>
      <c r="E150" s="114">
        <f>IF(C150=2,B150,NA())</f>
        <v>1.148706418</v>
      </c>
      <c r="J150" s="234" t="s">
        <v>107</v>
      </c>
      <c r="K150" s="234"/>
      <c r="L150" s="234"/>
    </row>
    <row r="151" spans="1:31" ht="18" customHeight="1" x14ac:dyDescent="0.3">
      <c r="A151" s="12" t="s">
        <v>85</v>
      </c>
      <c r="B151" s="61">
        <v>7.4825815000000004E-2</v>
      </c>
      <c r="C151" s="15">
        <v>1</v>
      </c>
      <c r="D151" s="114">
        <f t="shared" ref="D151:D159" si="19">IF(C151=1,B151,NA())</f>
        <v>7.4825815000000004E-2</v>
      </c>
      <c r="E151" s="114" t="e">
        <f t="shared" ref="E151:E159" si="20">IF(C151=2,B151,NA())</f>
        <v>#N/A</v>
      </c>
      <c r="K151" s="127">
        <f>(_xlfn.MINIFS(B150:B159,C150:C159,1)+_xlfn.MAXIFS(B150:B159,C150:C159,2))/2</f>
        <v>0.56554030999999994</v>
      </c>
    </row>
    <row r="152" spans="1:31" ht="18" customHeight="1" x14ac:dyDescent="0.3">
      <c r="A152" s="12" t="s">
        <v>86</v>
      </c>
      <c r="B152" s="61">
        <v>-4.4937383930000001</v>
      </c>
      <c r="C152" s="15">
        <v>2</v>
      </c>
      <c r="D152" s="114" t="e">
        <f t="shared" si="19"/>
        <v>#N/A</v>
      </c>
      <c r="E152" s="114">
        <f t="shared" si="20"/>
        <v>-4.4937383930000001</v>
      </c>
    </row>
    <row r="153" spans="1:31" ht="18" customHeight="1" x14ac:dyDescent="0.3">
      <c r="A153" s="12" t="s">
        <v>87</v>
      </c>
      <c r="B153" s="61">
        <v>-1.7625798000000002E-2</v>
      </c>
      <c r="C153" s="15">
        <v>1</v>
      </c>
      <c r="D153" s="114">
        <f t="shared" si="19"/>
        <v>-1.7625798000000002E-2</v>
      </c>
      <c r="E153" s="114" t="e">
        <f t="shared" si="20"/>
        <v>#N/A</v>
      </c>
      <c r="G153" s="234" t="s">
        <v>96</v>
      </c>
      <c r="H153" s="234"/>
      <c r="I153" s="234"/>
      <c r="M153" s="234" t="s">
        <v>98</v>
      </c>
      <c r="N153" s="234"/>
      <c r="O153" s="234"/>
    </row>
    <row r="154" spans="1:31" ht="18" customHeight="1" x14ac:dyDescent="0.3">
      <c r="A154" s="12" t="s">
        <v>88</v>
      </c>
      <c r="B154" s="61">
        <v>0.19042951899999999</v>
      </c>
      <c r="C154" s="15">
        <v>1</v>
      </c>
      <c r="D154" s="114">
        <f t="shared" si="19"/>
        <v>0.19042951899999999</v>
      </c>
      <c r="E154" s="114" t="e">
        <f t="shared" si="20"/>
        <v>#N/A</v>
      </c>
      <c r="G154" s="120" t="str">
        <f>INDEX(A150:A159,MATCH(_xlfn.MAXIFS(B150:B159,C150:C159,2),B150:B159,0))</f>
        <v>S1</v>
      </c>
      <c r="H154" s="125" t="s">
        <v>97</v>
      </c>
      <c r="I154" s="120">
        <f>_xlfn.MAXIFS(B150:B159,C150:C159,2)</f>
        <v>1.148706418</v>
      </c>
      <c r="M154" s="91" t="str">
        <f>INDEX(A150:A159,MATCH(_xlfn.MINIFS(B150:B159,C150:C159,1),B150:B159,0))</f>
        <v>S4</v>
      </c>
      <c r="N154" s="116" t="s">
        <v>97</v>
      </c>
      <c r="O154" s="91">
        <f>_xlfn.MINIFS(B150:B159,C150:C159,1)</f>
        <v>-1.7625798000000002E-2</v>
      </c>
    </row>
    <row r="155" spans="1:31" ht="18" customHeight="1" x14ac:dyDescent="0.3">
      <c r="A155" s="12" t="s">
        <v>89</v>
      </c>
      <c r="B155" s="61">
        <v>3.9020016999999997E-2</v>
      </c>
      <c r="C155" s="15">
        <v>1</v>
      </c>
      <c r="D155" s="114">
        <f t="shared" si="19"/>
        <v>3.9020016999999997E-2</v>
      </c>
      <c r="E155" s="114" t="e">
        <f t="shared" si="20"/>
        <v>#N/A</v>
      </c>
    </row>
    <row r="156" spans="1:31" ht="18" customHeight="1" x14ac:dyDescent="0.3">
      <c r="A156" s="12" t="s">
        <v>90</v>
      </c>
      <c r="B156" s="61">
        <v>-5.8688976520000002</v>
      </c>
      <c r="C156" s="15">
        <v>2</v>
      </c>
      <c r="D156" s="114" t="e">
        <f t="shared" si="19"/>
        <v>#N/A</v>
      </c>
      <c r="E156" s="114">
        <f t="shared" si="20"/>
        <v>-5.8688976520000002</v>
      </c>
      <c r="K156" s="126">
        <f>_xlfn.MINIFS(B150:B159,C150:C159,1)-_xlfn.MAXIFS(B150:B159,C150:C159,2)</f>
        <v>-1.166332216</v>
      </c>
    </row>
    <row r="157" spans="1:31" ht="18" customHeight="1" x14ac:dyDescent="0.3">
      <c r="A157" s="12" t="s">
        <v>91</v>
      </c>
      <c r="B157" s="61">
        <v>-5.1593455559999999</v>
      </c>
      <c r="C157" s="15">
        <v>2</v>
      </c>
      <c r="D157" s="114" t="e">
        <f t="shared" si="19"/>
        <v>#N/A</v>
      </c>
      <c r="E157" s="114">
        <f t="shared" si="20"/>
        <v>-5.1593455559999999</v>
      </c>
      <c r="J157" s="236" t="s">
        <v>99</v>
      </c>
      <c r="K157" s="237"/>
      <c r="L157" s="238"/>
    </row>
    <row r="158" spans="1:31" ht="18" customHeight="1" x14ac:dyDescent="0.3">
      <c r="A158" s="12" t="s">
        <v>92</v>
      </c>
      <c r="B158" s="61">
        <v>-7.4833647040000004</v>
      </c>
      <c r="C158" s="15">
        <v>2</v>
      </c>
      <c r="D158" s="114" t="e">
        <f t="shared" si="19"/>
        <v>#N/A</v>
      </c>
      <c r="E158" s="114">
        <f t="shared" si="20"/>
        <v>-7.4833647040000004</v>
      </c>
    </row>
    <row r="159" spans="1:31" ht="18" customHeight="1" x14ac:dyDescent="0.3">
      <c r="A159" s="12" t="s">
        <v>93</v>
      </c>
      <c r="B159" s="61">
        <v>-7.000507561</v>
      </c>
      <c r="C159" s="15">
        <v>2</v>
      </c>
      <c r="D159" s="114" t="e">
        <f t="shared" si="19"/>
        <v>#N/A</v>
      </c>
      <c r="E159" s="114">
        <f t="shared" si="20"/>
        <v>-7.000507561</v>
      </c>
    </row>
    <row r="160" spans="1:31" ht="18" customHeight="1" x14ac:dyDescent="0.3"/>
    <row r="161" spans="1:31" ht="18" customHeight="1" x14ac:dyDescent="0.3"/>
    <row r="162" spans="1:31" ht="18" customHeight="1" thickBot="1" x14ac:dyDescent="0.35"/>
    <row r="163" spans="1:31" ht="18" customHeight="1" thickBot="1" x14ac:dyDescent="0.35">
      <c r="A163" s="239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1"/>
    </row>
    <row r="164" spans="1:31" ht="18" customHeight="1" x14ac:dyDescent="0.3"/>
    <row r="165" spans="1:31" ht="18" customHeight="1" x14ac:dyDescent="0.3"/>
    <row r="166" spans="1:31" ht="18" customHeight="1" x14ac:dyDescent="0.3"/>
    <row r="167" spans="1:31" ht="18" customHeight="1" x14ac:dyDescent="0.3">
      <c r="A167" s="148" t="s">
        <v>108</v>
      </c>
      <c r="B167" s="149"/>
      <c r="C167" s="149"/>
      <c r="D167" s="149"/>
      <c r="E167" s="150"/>
    </row>
    <row r="168" spans="1:31" ht="18" customHeight="1" x14ac:dyDescent="0.3">
      <c r="A168" s="10" t="s">
        <v>5</v>
      </c>
      <c r="B168" s="94"/>
      <c r="C168" s="94"/>
      <c r="D168" s="94"/>
      <c r="E168" s="94"/>
    </row>
    <row r="169" spans="1:31" ht="18" customHeight="1" x14ac:dyDescent="0.3">
      <c r="A169" s="12" t="s">
        <v>105</v>
      </c>
      <c r="B169" s="61">
        <f>_xlfn.MINIFS(B19:B28,C19:C28,1)-_xlfn.MAXIFS(B19:B28,C19:C28,2)</f>
        <v>0.38866656731838023</v>
      </c>
      <c r="C169" s="61">
        <f>_xlfn.MINIFS(B35:B44,C35:C44,1)-_xlfn.MAXIFS(B35:B44,C35:C44,2)</f>
        <v>0.95969031306201269</v>
      </c>
      <c r="D169" s="61">
        <f>_xlfn.MINIFS(B51:B60,C51:C60,1)-_xlfn.MAXIFS(B51:B60,C51:C60,2)</f>
        <v>1.3640894154756982</v>
      </c>
      <c r="E169" s="61">
        <f>_xlfn.MINIFS(B67:B76,C67:C76,1)-_xlfn.MAXIFS(B67:B76,C67:C76,2)</f>
        <v>1.9905540752666373</v>
      </c>
    </row>
    <row r="170" spans="1:31" ht="18" customHeight="1" x14ac:dyDescent="0.3">
      <c r="A170" s="12" t="s">
        <v>106</v>
      </c>
      <c r="B170" s="61">
        <f>_xlfn.MINIFS(B102:B111,C102:C111,1)-_xlfn.MAXIFS(B102:B111,C102:C111,2)</f>
        <v>-0.47658730199999999</v>
      </c>
      <c r="C170" s="61">
        <f>_xlfn.MINIFS(B118:B127,C118:C127,1)-_xlfn.MAXIFS(B118:B127,C118:C127,2)</f>
        <v>-0.75007142900000001</v>
      </c>
      <c r="D170" s="61">
        <f>_xlfn.MINIFS(B134:B143,C134:C143,1)-_xlfn.MAXIFS(B134:B143,C134:C143,2)</f>
        <v>-0.81271647899999999</v>
      </c>
      <c r="E170" s="61">
        <f>_xlfn.MINIFS(B150:B159,C150:C159,1)-_xlfn.MAXIFS(B150:B159,C150:C159,2)</f>
        <v>-1.166332216</v>
      </c>
    </row>
    <row r="171" spans="1:31" ht="18" customHeight="1" x14ac:dyDescent="0.3"/>
    <row r="172" spans="1:31" ht="18" customHeight="1" x14ac:dyDescent="0.3"/>
    <row r="173" spans="1:31" ht="18" customHeight="1" x14ac:dyDescent="0.3"/>
    <row r="174" spans="1:31" ht="18" customHeight="1" x14ac:dyDescent="0.3"/>
    <row r="175" spans="1:31" ht="18" customHeight="1" x14ac:dyDescent="0.3"/>
    <row r="176" spans="1:31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</sheetData>
  <sortState xmlns:xlrd2="http://schemas.microsoft.com/office/spreadsheetml/2017/richdata2" ref="U19:W28">
    <sortCondition ref="V19:V28"/>
  </sortState>
  <mergeCells count="59">
    <mergeCell ref="Q10:S10"/>
    <mergeCell ref="Q11:S12"/>
    <mergeCell ref="Q5:S5"/>
    <mergeCell ref="Q6:S8"/>
    <mergeCell ref="D148:E148"/>
    <mergeCell ref="D132:E132"/>
    <mergeCell ref="J134:L134"/>
    <mergeCell ref="G137:I137"/>
    <mergeCell ref="M137:O137"/>
    <mergeCell ref="J141:L141"/>
    <mergeCell ref="G121:I121"/>
    <mergeCell ref="M121:O121"/>
    <mergeCell ref="J125:L125"/>
    <mergeCell ref="D116:E116"/>
    <mergeCell ref="A84:F84"/>
    <mergeCell ref="G84:I84"/>
    <mergeCell ref="X8:AA8"/>
    <mergeCell ref="X9:AA13"/>
    <mergeCell ref="X2:AB2"/>
    <mergeCell ref="X3:AB6"/>
    <mergeCell ref="U2:V2"/>
    <mergeCell ref="U3:V5"/>
    <mergeCell ref="M153:O153"/>
    <mergeCell ref="J157:L157"/>
    <mergeCell ref="J150:L150"/>
    <mergeCell ref="G153:I153"/>
    <mergeCell ref="G105:I105"/>
    <mergeCell ref="M105:O105"/>
    <mergeCell ref="J109:L109"/>
    <mergeCell ref="J118:L118"/>
    <mergeCell ref="J84:O84"/>
    <mergeCell ref="D100:E100"/>
    <mergeCell ref="J102:L102"/>
    <mergeCell ref="D65:E65"/>
    <mergeCell ref="J67:L67"/>
    <mergeCell ref="G70:I70"/>
    <mergeCell ref="M70:O70"/>
    <mergeCell ref="J74:L74"/>
    <mergeCell ref="D49:E49"/>
    <mergeCell ref="J51:L51"/>
    <mergeCell ref="G54:I54"/>
    <mergeCell ref="M54:O54"/>
    <mergeCell ref="J58:L58"/>
    <mergeCell ref="A167:E167"/>
    <mergeCell ref="A1:F1"/>
    <mergeCell ref="J1:O1"/>
    <mergeCell ref="G22:I22"/>
    <mergeCell ref="G1:I1"/>
    <mergeCell ref="D17:E17"/>
    <mergeCell ref="J26:L26"/>
    <mergeCell ref="M22:O22"/>
    <mergeCell ref="J19:L19"/>
    <mergeCell ref="D33:E33"/>
    <mergeCell ref="J35:L35"/>
    <mergeCell ref="G38:I38"/>
    <mergeCell ref="A163:AE163"/>
    <mergeCell ref="A80:AE80"/>
    <mergeCell ref="M38:O38"/>
    <mergeCell ref="J42:L42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1E04-B415-4F98-9B73-012C86E4E248}">
  <dimension ref="A1:C100"/>
  <sheetViews>
    <sheetView zoomScale="80" zoomScaleNormal="80" workbookViewId="0">
      <selection activeCell="E6" sqref="E6"/>
    </sheetView>
  </sheetViews>
  <sheetFormatPr defaultRowHeight="14.4" x14ac:dyDescent="0.3"/>
  <cols>
    <col min="1" max="13" width="14.77734375" customWidth="1"/>
  </cols>
  <sheetData>
    <row r="1" spans="1:3" ht="18" customHeight="1" x14ac:dyDescent="0.3">
      <c r="A1" s="242" t="s">
        <v>110</v>
      </c>
      <c r="B1" s="242"/>
      <c r="C1" s="242"/>
    </row>
    <row r="2" spans="1:3" ht="18" customHeight="1" x14ac:dyDescent="0.3">
      <c r="A2" s="248"/>
      <c r="B2" s="248"/>
      <c r="C2" s="248"/>
    </row>
    <row r="3" spans="1:3" ht="18" customHeight="1" x14ac:dyDescent="0.3">
      <c r="A3" s="248"/>
      <c r="B3" s="248"/>
      <c r="C3" s="248"/>
    </row>
    <row r="4" spans="1:3" ht="18" customHeight="1" x14ac:dyDescent="0.3">
      <c r="A4" s="248"/>
      <c r="B4" s="248"/>
      <c r="C4" s="248"/>
    </row>
    <row r="5" spans="1:3" ht="18" customHeight="1" x14ac:dyDescent="0.3"/>
    <row r="6" spans="1:3" ht="18" customHeight="1" x14ac:dyDescent="0.3"/>
    <row r="7" spans="1:3" ht="18" customHeight="1" x14ac:dyDescent="0.3"/>
    <row r="8" spans="1:3" ht="18" customHeight="1" x14ac:dyDescent="0.3"/>
    <row r="9" spans="1:3" ht="18" customHeight="1" x14ac:dyDescent="0.3"/>
    <row r="10" spans="1:3" ht="18" customHeight="1" x14ac:dyDescent="0.3"/>
    <row r="11" spans="1:3" ht="18" customHeight="1" x14ac:dyDescent="0.3"/>
    <row r="12" spans="1:3" ht="18" customHeight="1" x14ac:dyDescent="0.3"/>
    <row r="13" spans="1:3" ht="18" customHeight="1" x14ac:dyDescent="0.3"/>
    <row r="14" spans="1:3" ht="18" customHeight="1" x14ac:dyDescent="0.3"/>
    <row r="15" spans="1:3" ht="18" customHeight="1" x14ac:dyDescent="0.3"/>
    <row r="16" spans="1:3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</sheetData>
  <mergeCells count="2">
    <mergeCell ref="A1:C1"/>
    <mergeCell ref="A2:C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793A-87B7-4964-BD8D-4141F98AED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B93E-BC47-4D07-B666-43EA9EE6AF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26C8-467E-42D3-AF6D-56D7FEDFF7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</vt:lpstr>
      <vt:lpstr>Quantitative</vt:lpstr>
      <vt:lpstr>Nominal</vt:lpstr>
      <vt:lpstr>Dataset (Contribution &amp; Weight)</vt:lpstr>
      <vt:lpstr>Brace for Meta-algorithm</vt:lpstr>
      <vt:lpstr>Meta-algorithm</vt:lpstr>
      <vt:lpstr>Margin Analysis</vt:lpstr>
      <vt:lpstr>Accuracy</vt:lpstr>
      <vt:lpstr>Confusion Matrix</vt:lpstr>
      <vt:lpstr>Precision, Recall, F1 Score</vt:lpstr>
      <vt:lpstr>ROC Curve &amp; AUC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2026-04-02T22:00:39Z</dcterms:modified>
</cp:coreProperties>
</file>